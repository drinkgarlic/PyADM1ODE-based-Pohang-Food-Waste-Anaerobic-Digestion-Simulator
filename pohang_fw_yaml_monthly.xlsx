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표1_논문데이터" sheetId="1" state="visible" r:id="rId3"/>
    <sheet name="표2_YAML변수" sheetId="2" state="visible" r:id="rId4"/>
    <sheet name="가정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<sst xmlns="http://schemas.openxmlformats.org/spreadsheetml/2006/main" count="350" uniqueCount="282">
  <si>
    <r>
      <rPr>
        <b val="true"/>
        <sz val="12"/>
        <rFont val="Noto Sans CJK SC"/>
        <family val="2"/>
      </rPr>
      <t xml:space="preserve">표 </t>
    </r>
    <r>
      <rPr>
        <b val="true"/>
        <sz val="12"/>
        <rFont val="Arial"/>
        <family val="0"/>
        <charset val="1"/>
      </rPr>
      <t xml:space="preserve">1. </t>
    </r>
    <r>
      <rPr>
        <b val="true"/>
        <sz val="12"/>
        <rFont val="Noto Sans CJK SC"/>
        <family val="2"/>
      </rPr>
      <t xml:space="preserve">박상혁 등</t>
    </r>
    <r>
      <rPr>
        <b val="true"/>
        <sz val="12"/>
        <rFont val="Arial"/>
        <family val="0"/>
        <charset val="1"/>
      </rPr>
      <t xml:space="preserve">(2022) </t>
    </r>
    <r>
      <rPr>
        <b val="true"/>
        <sz val="12"/>
        <rFont val="Noto Sans CJK SC"/>
        <family val="2"/>
      </rPr>
      <t xml:space="preserve">포항시 음식물류폐기물 월별 성상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원물</t>
    </r>
    <r>
      <rPr>
        <b val="true"/>
        <sz val="12"/>
        <rFont val="Arial"/>
        <family val="0"/>
        <charset val="1"/>
      </rPr>
      <t xml:space="preserve">, 2020.11~2021.10)</t>
    </r>
  </si>
  <si>
    <r>
      <rPr>
        <i val="true"/>
        <sz val="10"/>
        <rFont val="Noto Sans CJK SC"/>
        <family val="2"/>
      </rPr>
      <t xml:space="preserve">파란 글씨</t>
    </r>
    <r>
      <rPr>
        <i val="true"/>
        <sz val="10"/>
        <rFont val="Arial"/>
        <family val="0"/>
        <charset val="1"/>
      </rPr>
      <t xml:space="preserve">=</t>
    </r>
    <r>
      <rPr>
        <i val="true"/>
        <sz val="10"/>
        <rFont val="Noto Sans CJK SC"/>
        <family val="2"/>
      </rPr>
      <t xml:space="preserve">입력값</t>
    </r>
    <r>
      <rPr>
        <i val="true"/>
        <sz val="10"/>
        <rFont val="Arial"/>
        <family val="0"/>
        <charset val="1"/>
      </rPr>
      <t xml:space="preserve">. TS·VS·TVFAs·TAN·pH·</t>
    </r>
    <r>
      <rPr>
        <i val="true"/>
        <sz val="10"/>
        <rFont val="Noto Sans CJK SC"/>
        <family val="2"/>
      </rPr>
      <t xml:space="preserve">탄수화물</t>
    </r>
    <r>
      <rPr>
        <i val="true"/>
        <sz val="10"/>
        <rFont val="Arial"/>
        <family val="0"/>
        <charset val="1"/>
      </rPr>
      <t xml:space="preserve">·</t>
    </r>
    <r>
      <rPr>
        <i val="true"/>
        <sz val="10"/>
        <rFont val="Noto Sans CJK SC"/>
        <family val="2"/>
      </rPr>
      <t xml:space="preserve">단백질</t>
    </r>
    <r>
      <rPr>
        <i val="true"/>
        <sz val="10"/>
        <rFont val="Arial"/>
        <family val="0"/>
        <charset val="1"/>
      </rPr>
      <t xml:space="preserve">·</t>
    </r>
    <r>
      <rPr>
        <i val="true"/>
        <sz val="10"/>
        <rFont val="Noto Sans CJK SC"/>
        <family val="2"/>
      </rPr>
      <t xml:space="preserve">지방</t>
    </r>
    <r>
      <rPr>
        <i val="true"/>
        <sz val="10"/>
        <rFont val="Arial"/>
        <family val="0"/>
        <charset val="1"/>
      </rPr>
      <t xml:space="preserve">·COD·SCOD</t>
    </r>
    <r>
      <rPr>
        <i val="true"/>
        <sz val="10"/>
        <rFont val="Noto Sans CJK SC"/>
        <family val="2"/>
      </rPr>
      <t xml:space="preserve">는 </t>
    </r>
    <r>
      <rPr>
        <i val="true"/>
        <sz val="10"/>
        <rFont val="Arial"/>
        <family val="0"/>
        <charset val="1"/>
      </rPr>
      <t xml:space="preserve">Fig.1</t>
    </r>
    <r>
      <rPr>
        <i val="true"/>
        <sz val="10"/>
        <rFont val="Noto Sans CJK SC"/>
        <family val="2"/>
      </rPr>
      <t xml:space="preserve">을 픽셀 단위로 디지타이징한 값</t>
    </r>
    <r>
      <rPr>
        <i val="true"/>
        <sz val="10"/>
        <rFont val="Arial"/>
        <family val="0"/>
        <charset val="1"/>
      </rPr>
      <t xml:space="preserve">(</t>
    </r>
    <r>
      <rPr>
        <i val="true"/>
        <sz val="10"/>
        <rFont val="Noto Sans CJK SC"/>
        <family val="2"/>
      </rPr>
      <t xml:space="preserve">축 눈금 보정</t>
    </r>
    <r>
      <rPr>
        <i val="true"/>
        <sz val="10"/>
        <rFont val="Arial"/>
        <family val="0"/>
        <charset val="1"/>
      </rPr>
      <t xml:space="preserve">, </t>
    </r>
    <r>
      <rPr>
        <i val="true"/>
        <sz val="10"/>
        <rFont val="Noto Sans CJK SC"/>
        <family val="2"/>
      </rPr>
      <t xml:space="preserve">본문 명시값 대조 완료</t>
    </r>
    <r>
      <rPr>
        <i val="true"/>
        <sz val="10"/>
        <rFont val="Arial"/>
        <family val="0"/>
        <charset val="1"/>
      </rPr>
      <t xml:space="preserve">, </t>
    </r>
    <r>
      <rPr>
        <i val="true"/>
        <sz val="10"/>
        <rFont val="Noto Sans CJK SC"/>
        <family val="2"/>
      </rPr>
      <t xml:space="preserve">오차 약 </t>
    </r>
    <r>
      <rPr>
        <i val="true"/>
        <sz val="10"/>
        <rFont val="Arial"/>
        <family val="0"/>
        <charset val="1"/>
      </rPr>
      <t xml:space="preserve">±1~3%), BMP·Rm</t>
    </r>
    <r>
      <rPr>
        <i val="true"/>
        <sz val="10"/>
        <rFont val="Noto Sans CJK SC"/>
        <family val="2"/>
      </rPr>
      <t xml:space="preserve">은 </t>
    </r>
    <r>
      <rPr>
        <i val="true"/>
        <sz val="10"/>
        <rFont val="Arial"/>
        <family val="0"/>
        <charset val="1"/>
      </rPr>
      <t xml:space="preserve">Table 2 </t>
    </r>
    <r>
      <rPr>
        <i val="true"/>
        <sz val="10"/>
        <rFont val="Noto Sans CJK SC"/>
        <family val="2"/>
      </rPr>
      <t xml:space="preserve">원문값</t>
    </r>
    <r>
      <rPr>
        <i val="true"/>
        <sz val="10"/>
        <rFont val="Arial"/>
        <family val="0"/>
        <charset val="1"/>
      </rPr>
      <t xml:space="preserve">(modified Gompertz).</t>
    </r>
  </si>
  <si>
    <t xml:space="preserve">월</t>
  </si>
  <si>
    <t xml:space="preserve">TS</t>
  </si>
  <si>
    <t xml:space="preserve">VS</t>
  </si>
  <si>
    <t xml:space="preserve">TVFAs</t>
  </si>
  <si>
    <t xml:space="preserve">TAN</t>
  </si>
  <si>
    <t xml:space="preserve">pH</t>
  </si>
  <si>
    <t xml:space="preserve">탄수화물</t>
  </si>
  <si>
    <t xml:space="preserve">단백질</t>
  </si>
  <si>
    <t xml:space="preserve">지방</t>
  </si>
  <si>
    <t xml:space="preserve">COD</t>
  </si>
  <si>
    <t xml:space="preserve">SCOD</t>
  </si>
  <si>
    <r>
      <rPr>
        <b val="true"/>
        <sz val="10"/>
        <rFont val="Arial"/>
        <family val="0"/>
        <charset val="1"/>
      </rPr>
      <t xml:space="preserve">BMP (COD </t>
    </r>
    <r>
      <rPr>
        <b val="true"/>
        <sz val="10"/>
        <rFont val="Noto Sans CJK SC"/>
        <family val="2"/>
      </rPr>
      <t xml:space="preserve">기준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</si>
  <si>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BMP (VS </t>
    </r>
    <r>
      <rPr>
        <b val="true"/>
        <sz val="10"/>
        <rFont val="Noto Sans CJK SC"/>
        <family val="2"/>
      </rPr>
      <t xml:space="preserve">기준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</si>
  <si>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Rm (</t>
    </r>
    <r>
      <rPr>
        <b val="true"/>
        <sz val="10"/>
        <rFont val="Noto Sans CJK SC"/>
        <family val="2"/>
      </rPr>
      <t xml:space="preserve">최대 메탄생성율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</si>
  <si>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본문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표 대조</t>
    </r>
  </si>
  <si>
    <t xml:space="preserve">g/L</t>
  </si>
  <si>
    <t xml:space="preserve">-</t>
  </si>
  <si>
    <t xml:space="preserve">% VS</t>
  </si>
  <si>
    <t xml:space="preserve">mL CH₄/g COD</t>
  </si>
  <si>
    <t xml:space="preserve">mL CH₄/g VS</t>
  </si>
  <si>
    <t xml:space="preserve">mL CH₄/g COD/d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</si>
  <si>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월</t>
    </r>
  </si>
  <si>
    <r>
      <rPr>
        <sz val="9"/>
        <rFont val="Noto Sans CJK SC"/>
        <family val="2"/>
      </rPr>
      <t xml:space="preserve">탄수화물 본문 </t>
    </r>
    <r>
      <rPr>
        <sz val="9"/>
        <rFont val="Arial"/>
        <family val="0"/>
        <charset val="1"/>
      </rPr>
      <t xml:space="preserve">26.82 ✓</t>
    </r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</si>
  <si>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월</t>
    </r>
  </si>
  <si>
    <r>
      <rPr>
        <sz val="9"/>
        <rFont val="Noto Sans CJK SC"/>
        <family val="2"/>
      </rPr>
      <t xml:space="preserve">탄수화물 </t>
    </r>
    <r>
      <rPr>
        <sz val="9"/>
        <rFont val="Arial"/>
        <family val="0"/>
        <charset val="1"/>
      </rPr>
      <t xml:space="preserve">15.57, </t>
    </r>
    <r>
      <rPr>
        <sz val="9"/>
        <rFont val="Noto Sans CJK SC"/>
        <family val="2"/>
      </rPr>
      <t xml:space="preserve">지방 </t>
    </r>
    <r>
      <rPr>
        <sz val="9"/>
        <rFont val="Arial"/>
        <family val="0"/>
        <charset val="1"/>
      </rPr>
      <t xml:space="preserve">19.28 ✓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</si>
  <si>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월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</si>
  <si>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월</t>
    </r>
  </si>
  <si>
    <r>
      <rPr>
        <sz val="9"/>
        <rFont val="Noto Sans CJK SC"/>
        <family val="2"/>
      </rPr>
      <t xml:space="preserve">단백질 </t>
    </r>
    <r>
      <rPr>
        <sz val="9"/>
        <rFont val="Arial"/>
        <family val="0"/>
        <charset val="1"/>
      </rPr>
      <t xml:space="preserve">61.12 ✓</t>
    </r>
  </si>
  <si>
    <r>
      <rPr>
        <b val="true"/>
        <sz val="10"/>
        <rFont val="Arial"/>
        <family val="0"/>
        <charset val="1"/>
      </rPr>
      <t xml:space="preserve">5</t>
    </r>
    <r>
      <rPr>
        <b val="true"/>
        <sz val="10"/>
        <rFont val="Noto Sans CJK SC"/>
        <family val="2"/>
      </rPr>
      <t xml:space="preserve">월</t>
    </r>
  </si>
  <si>
    <r>
      <rPr>
        <sz val="9"/>
        <rFont val="Noto Sans CJK SC"/>
        <family val="2"/>
      </rPr>
      <t xml:space="preserve">단백질 </t>
    </r>
    <r>
      <rPr>
        <sz val="9"/>
        <rFont val="Arial"/>
        <family val="0"/>
        <charset val="1"/>
      </rPr>
      <t xml:space="preserve">51.49, </t>
    </r>
    <r>
      <rPr>
        <sz val="9"/>
        <rFont val="Noto Sans CJK SC"/>
        <family val="2"/>
      </rPr>
      <t xml:space="preserve">지방 </t>
    </r>
    <r>
      <rPr>
        <sz val="9"/>
        <rFont val="Arial"/>
        <family val="0"/>
        <charset val="1"/>
      </rPr>
      <t xml:space="preserve">18.96 ✓</t>
    </r>
  </si>
  <si>
    <r>
      <rPr>
        <b val="true"/>
        <sz val="10"/>
        <rFont val="Arial"/>
        <family val="0"/>
        <charset val="1"/>
      </rPr>
      <t xml:space="preserve">6</t>
    </r>
    <r>
      <rPr>
        <b val="true"/>
        <sz val="10"/>
        <rFont val="Noto Sans CJK SC"/>
        <family val="2"/>
      </rPr>
      <t xml:space="preserve">월</t>
    </r>
  </si>
  <si>
    <r>
      <rPr>
        <sz val="9"/>
        <rFont val="Noto Sans CJK SC"/>
        <family val="2"/>
      </rPr>
      <t xml:space="preserve">탄수화물 </t>
    </r>
    <r>
      <rPr>
        <sz val="9"/>
        <rFont val="Arial"/>
        <family val="0"/>
        <charset val="1"/>
      </rPr>
      <t xml:space="preserve">57.54~57.67(6~7</t>
    </r>
    <r>
      <rPr>
        <sz val="9"/>
        <rFont val="Noto Sans CJK SC"/>
        <family val="2"/>
      </rPr>
      <t xml:space="preserve">월</t>
    </r>
    <r>
      <rPr>
        <sz val="9"/>
        <rFont val="Arial"/>
        <family val="0"/>
        <charset val="1"/>
      </rPr>
      <t xml:space="preserve">) ✓</t>
    </r>
  </si>
  <si>
    <r>
      <rPr>
        <b val="true"/>
        <sz val="10"/>
        <rFont val="Arial"/>
        <family val="0"/>
        <charset val="1"/>
      </rPr>
      <t xml:space="preserve">7</t>
    </r>
    <r>
      <rPr>
        <b val="true"/>
        <sz val="10"/>
        <rFont val="Noto Sans CJK SC"/>
        <family val="2"/>
      </rPr>
      <t xml:space="preserve">월</t>
    </r>
  </si>
  <si>
    <r>
      <rPr>
        <sz val="9"/>
        <rFont val="Noto Sans CJK SC"/>
        <family val="2"/>
      </rPr>
      <t xml:space="preserve">지방 </t>
    </r>
    <r>
      <rPr>
        <sz val="9"/>
        <rFont val="Arial"/>
        <family val="0"/>
        <charset val="1"/>
      </rPr>
      <t xml:space="preserve">21.87, pH 4.25 ✓</t>
    </r>
  </si>
  <si>
    <r>
      <rPr>
        <b val="true"/>
        <sz val="10"/>
        <rFont val="Arial"/>
        <family val="0"/>
        <charset val="1"/>
      </rPr>
      <t xml:space="preserve">8</t>
    </r>
    <r>
      <rPr>
        <b val="true"/>
        <sz val="10"/>
        <rFont val="Noto Sans CJK SC"/>
        <family val="2"/>
      </rPr>
      <t xml:space="preserve">월</t>
    </r>
  </si>
  <si>
    <t xml:space="preserve">pH 4.20 ✓</t>
  </si>
  <si>
    <r>
      <rPr>
        <b val="true"/>
        <sz val="10"/>
        <rFont val="Arial"/>
        <family val="0"/>
        <charset val="1"/>
      </rPr>
      <t xml:space="preserve">9</t>
    </r>
    <r>
      <rPr>
        <b val="true"/>
        <sz val="10"/>
        <rFont val="Noto Sans CJK SC"/>
        <family val="2"/>
      </rPr>
      <t xml:space="preserve">월</t>
    </r>
  </si>
  <si>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Noto Sans CJK SC"/>
        <family val="2"/>
      </rPr>
      <t xml:space="preserve">월</t>
    </r>
  </si>
  <si>
    <r>
      <rPr>
        <sz val="9"/>
        <rFont val="Arial"/>
        <family val="0"/>
        <charset val="1"/>
      </rPr>
      <t xml:space="preserve">BMP·Rm </t>
    </r>
    <r>
      <rPr>
        <sz val="9"/>
        <rFont val="Noto Sans CJK SC"/>
        <family val="2"/>
      </rPr>
      <t xml:space="preserve">미시험 → </t>
    </r>
    <r>
      <rPr>
        <sz val="9"/>
        <rFont val="Arial"/>
        <family val="0"/>
        <charset val="1"/>
      </rPr>
      <t xml:space="preserve">9·11</t>
    </r>
    <r>
      <rPr>
        <sz val="9"/>
        <rFont val="Noto Sans CJK SC"/>
        <family val="2"/>
      </rPr>
      <t xml:space="preserve">월 평균으로 보간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검정 수식</t>
    </r>
    <r>
      <rPr>
        <sz val="9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</si>
  <si>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11</t>
    </r>
    <r>
      <rPr>
        <b val="true"/>
        <sz val="10"/>
        <rFont val="Noto Sans CJK SC"/>
        <family val="2"/>
      </rPr>
      <t xml:space="preserve">월</t>
    </r>
  </si>
  <si>
    <r>
      <rPr>
        <sz val="9"/>
        <rFont val="Noto Sans CJK SC"/>
        <family val="2"/>
      </rPr>
      <t xml:space="preserve">지방 </t>
    </r>
    <r>
      <rPr>
        <sz val="9"/>
        <rFont val="Arial"/>
        <family val="0"/>
        <charset val="1"/>
      </rPr>
      <t xml:space="preserve">10.10 ✓</t>
    </r>
  </si>
  <si>
    <r>
      <rPr>
        <b val="true"/>
        <sz val="10"/>
        <rFont val="Arial"/>
        <family val="0"/>
        <charset val="1"/>
      </rPr>
      <t xml:space="preserve">12</t>
    </r>
    <r>
      <rPr>
        <b val="true"/>
        <sz val="10"/>
        <rFont val="Noto Sans CJK SC"/>
        <family val="2"/>
      </rPr>
      <t xml:space="preserve">월</t>
    </r>
  </si>
  <si>
    <r>
      <rPr>
        <i val="true"/>
        <sz val="9"/>
        <rFont val="Noto Sans CJK SC"/>
        <family val="2"/>
      </rPr>
      <t xml:space="preserve">주</t>
    </r>
    <r>
      <rPr>
        <i val="true"/>
        <sz val="9"/>
        <rFont val="Arial"/>
        <family val="0"/>
        <charset val="1"/>
      </rPr>
      <t xml:space="preserve">: TS≥200 g/L</t>
    </r>
    <r>
      <rPr>
        <i val="true"/>
        <sz val="9"/>
        <rFont val="Noto Sans CJK SC"/>
        <family val="2"/>
      </rPr>
      <t xml:space="preserve">인 월은 </t>
    </r>
    <r>
      <rPr>
        <i val="true"/>
        <sz val="9"/>
        <rFont val="Arial"/>
        <family val="0"/>
        <charset val="1"/>
      </rPr>
      <t xml:space="preserve">PyADM1ODE</t>
    </r>
    <r>
      <rPr>
        <i val="true"/>
        <sz val="9"/>
        <rFont val="Noto Sans CJK SC"/>
        <family val="2"/>
      </rPr>
      <t xml:space="preserve">가 고형물 밀도식으로 분기합니다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Noto Sans CJK SC"/>
        <family val="2"/>
      </rPr>
      <t xml:space="preserve">전처리 전 원물 값이며 중간저장조 값이 아닙니다</t>
    </r>
    <r>
      <rPr>
        <i val="true"/>
        <sz val="9"/>
        <rFont val="Arial"/>
        <family val="0"/>
        <charset val="1"/>
      </rPr>
      <t xml:space="preserve">.</t>
    </r>
  </si>
  <si>
    <r>
      <rPr>
        <i val="true"/>
        <sz val="9"/>
        <rFont val="Noto Sans CJK SC"/>
        <family val="2"/>
      </rPr>
      <t xml:space="preserve">주</t>
    </r>
    <r>
      <rPr>
        <i val="true"/>
        <sz val="9"/>
        <rFont val="Arial"/>
        <family val="0"/>
        <charset val="1"/>
      </rPr>
      <t xml:space="preserve">: </t>
    </r>
    <r>
      <rPr>
        <i val="true"/>
        <sz val="9"/>
        <rFont val="Noto Sans CJK SC"/>
        <family val="2"/>
      </rPr>
      <t xml:space="preserve">월 값은 월 </t>
    </r>
    <r>
      <rPr>
        <i val="true"/>
        <sz val="9"/>
        <rFont val="Arial"/>
        <family val="0"/>
        <charset val="1"/>
      </rPr>
      <t xml:space="preserve">1~2</t>
    </r>
    <r>
      <rPr>
        <i val="true"/>
        <sz val="9"/>
        <rFont val="Noto Sans CJK SC"/>
        <family val="2"/>
      </rPr>
      <t xml:space="preserve">회 시료의 평균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막대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Noto Sans CJK SC"/>
        <family val="2"/>
      </rPr>
      <t xml:space="preserve">이며 오차막대는 논문 </t>
    </r>
    <r>
      <rPr>
        <i val="true"/>
        <sz val="9"/>
        <rFont val="Arial"/>
        <family val="0"/>
        <charset val="1"/>
      </rPr>
      <t xml:space="preserve">Fig.1 </t>
    </r>
    <r>
      <rPr>
        <i val="true"/>
        <sz val="9"/>
        <rFont val="Noto Sans CJK SC"/>
        <family val="2"/>
      </rPr>
      <t xml:space="preserve">참조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Noto Sans CJK SC"/>
        <family val="2"/>
      </rPr>
      <t xml:space="preserve">본문 평균과의 대조</t>
    </r>
    <r>
      <rPr>
        <i val="true"/>
        <sz val="9"/>
        <rFont val="Arial"/>
        <family val="0"/>
        <charset val="1"/>
      </rPr>
      <t xml:space="preserve">: SCOD 9~5</t>
    </r>
    <r>
      <rPr>
        <i val="true"/>
        <sz val="9"/>
        <rFont val="Noto Sans CJK SC"/>
        <family val="2"/>
      </rPr>
      <t xml:space="preserve">월 평균 </t>
    </r>
    <r>
      <rPr>
        <i val="true"/>
        <sz val="9"/>
        <rFont val="Arial"/>
        <family val="0"/>
        <charset val="1"/>
      </rPr>
      <t xml:space="preserve">108.1(</t>
    </r>
    <r>
      <rPr>
        <i val="true"/>
        <sz val="9"/>
        <rFont val="Noto Sans CJK SC"/>
        <family val="2"/>
      </rPr>
      <t xml:space="preserve">본문 </t>
    </r>
    <r>
      <rPr>
        <i val="true"/>
        <sz val="9"/>
        <rFont val="Arial"/>
        <family val="0"/>
        <charset val="1"/>
      </rPr>
      <t xml:space="preserve">108.31), 6~8</t>
    </r>
    <r>
      <rPr>
        <i val="true"/>
        <sz val="9"/>
        <rFont val="Noto Sans CJK SC"/>
        <family val="2"/>
      </rPr>
      <t xml:space="preserve">월 </t>
    </r>
    <r>
      <rPr>
        <i val="true"/>
        <sz val="9"/>
        <rFont val="Arial"/>
        <family val="0"/>
        <charset val="1"/>
      </rPr>
      <t xml:space="preserve">189.7(</t>
    </r>
    <r>
      <rPr>
        <i val="true"/>
        <sz val="9"/>
        <rFont val="Noto Sans CJK SC"/>
        <family val="2"/>
      </rPr>
      <t xml:space="preserve">본문 </t>
    </r>
    <r>
      <rPr>
        <i val="true"/>
        <sz val="9"/>
        <rFont val="Arial"/>
        <family val="0"/>
        <charset val="1"/>
      </rPr>
      <t xml:space="preserve">189.43), </t>
    </r>
    <r>
      <rPr>
        <i val="true"/>
        <sz val="9"/>
        <rFont val="Noto Sans CJK SC"/>
        <family val="2"/>
      </rPr>
      <t xml:space="preserve">겨울 </t>
    </r>
    <r>
      <rPr>
        <i val="true"/>
        <sz val="9"/>
        <rFont val="Arial"/>
        <family val="0"/>
        <charset val="1"/>
      </rPr>
      <t xml:space="preserve">TS 209.9(</t>
    </r>
    <r>
      <rPr>
        <i val="true"/>
        <sz val="9"/>
        <rFont val="Noto Sans CJK SC"/>
        <family val="2"/>
      </rPr>
      <t xml:space="preserve">본문 </t>
    </r>
    <r>
      <rPr>
        <i val="true"/>
        <sz val="9"/>
        <rFont val="Arial"/>
        <family val="0"/>
        <charset val="1"/>
      </rPr>
      <t xml:space="preserve">211.68).</t>
    </r>
  </si>
  <si>
    <r>
      <rPr>
        <b val="true"/>
        <sz val="12"/>
        <rFont val="Noto Sans CJK SC"/>
        <family val="2"/>
      </rPr>
      <t xml:space="preserve">표 </t>
    </r>
    <r>
      <rPr>
        <b val="true"/>
        <sz val="12"/>
        <rFont val="Arial"/>
        <family val="0"/>
        <charset val="1"/>
      </rPr>
      <t xml:space="preserve">2. PyADM1ODE </t>
    </r>
    <r>
      <rPr>
        <b val="true"/>
        <sz val="12"/>
        <rFont val="Noto Sans CJK SC"/>
        <family val="2"/>
      </rPr>
      <t xml:space="preserve">기질 </t>
    </r>
    <r>
      <rPr>
        <b val="true"/>
        <sz val="12"/>
        <rFont val="Arial"/>
        <family val="0"/>
        <charset val="1"/>
      </rPr>
      <t xml:space="preserve">YAML 17</t>
    </r>
    <r>
      <rPr>
        <b val="true"/>
        <sz val="12"/>
        <rFont val="Noto Sans CJK SC"/>
        <family val="2"/>
      </rPr>
      <t xml:space="preserve">개 변수 — 월별 추정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원물 기준</t>
    </r>
    <r>
      <rPr>
        <b val="true"/>
        <sz val="12"/>
        <rFont val="Arial"/>
        <family val="0"/>
        <charset val="1"/>
      </rPr>
      <t xml:space="preserve">)</t>
    </r>
  </si>
  <si>
    <r>
      <rPr>
        <i val="true"/>
        <sz val="10"/>
        <rFont val="Noto Sans CJK SC"/>
        <family val="2"/>
      </rPr>
      <t xml:space="preserve">검정</t>
    </r>
    <r>
      <rPr>
        <i val="true"/>
        <sz val="10"/>
        <rFont val="Arial"/>
        <family val="0"/>
        <charset val="1"/>
      </rPr>
      <t xml:space="preserve">=</t>
    </r>
    <r>
      <rPr>
        <i val="true"/>
        <sz val="10"/>
        <rFont val="Noto Sans CJK SC"/>
        <family val="2"/>
      </rPr>
      <t xml:space="preserve">수식</t>
    </r>
    <r>
      <rPr>
        <i val="true"/>
        <sz val="10"/>
        <rFont val="Arial"/>
        <family val="0"/>
        <charset val="1"/>
      </rPr>
      <t xml:space="preserve">, </t>
    </r>
    <r>
      <rPr>
        <i val="true"/>
        <sz val="10"/>
        <rFont val="Noto Sans CJK SC"/>
        <family val="2"/>
      </rPr>
      <t xml:space="preserve">초록</t>
    </r>
    <r>
      <rPr>
        <i val="true"/>
        <sz val="10"/>
        <rFont val="Arial"/>
        <family val="0"/>
        <charset val="1"/>
      </rPr>
      <t xml:space="preserve">=</t>
    </r>
    <r>
      <rPr>
        <i val="true"/>
        <sz val="10"/>
        <rFont val="Noto Sans CJK SC"/>
        <family val="2"/>
      </rPr>
      <t xml:space="preserve">표</t>
    </r>
    <r>
      <rPr>
        <i val="true"/>
        <sz val="10"/>
        <rFont val="Arial"/>
        <family val="0"/>
        <charset val="1"/>
      </rPr>
      <t xml:space="preserve">1 </t>
    </r>
    <r>
      <rPr>
        <i val="true"/>
        <sz val="10"/>
        <rFont val="Noto Sans CJK SC"/>
        <family val="2"/>
      </rPr>
      <t xml:space="preserve">직접 인용</t>
    </r>
    <r>
      <rPr>
        <i val="true"/>
        <sz val="10"/>
        <rFont val="Arial"/>
        <family val="0"/>
        <charset val="1"/>
      </rPr>
      <t xml:space="preserve">, </t>
    </r>
    <r>
      <rPr>
        <i val="true"/>
        <sz val="10"/>
        <rFont val="Noto Sans CJK SC"/>
        <family val="2"/>
      </rPr>
      <t xml:space="preserve">파란</t>
    </r>
    <r>
      <rPr>
        <i val="true"/>
        <sz val="10"/>
        <rFont val="Arial"/>
        <family val="0"/>
        <charset val="1"/>
      </rPr>
      <t xml:space="preserve">=</t>
    </r>
    <r>
      <rPr>
        <i val="true"/>
        <sz val="10"/>
        <rFont val="Noto Sans CJK SC"/>
        <family val="2"/>
      </rPr>
      <t xml:space="preserve">입력</t>
    </r>
    <r>
      <rPr>
        <i val="true"/>
        <sz val="10"/>
        <rFont val="Arial"/>
        <family val="0"/>
        <charset val="1"/>
      </rPr>
      <t xml:space="preserve">. </t>
    </r>
    <r>
      <rPr>
        <i val="true"/>
        <sz val="10"/>
        <rFont val="Noto Sans CJK SC"/>
        <family val="2"/>
      </rPr>
      <t xml:space="preserve">계산은 표</t>
    </r>
    <r>
      <rPr>
        <i val="true"/>
        <sz val="10"/>
        <rFont val="Arial"/>
        <family val="0"/>
        <charset val="1"/>
      </rPr>
      <t xml:space="preserve">1</t>
    </r>
    <r>
      <rPr>
        <i val="true"/>
        <sz val="10"/>
        <rFont val="Noto Sans CJK SC"/>
        <family val="2"/>
      </rPr>
      <t xml:space="preserve">과 </t>
    </r>
    <r>
      <rPr>
        <i val="true"/>
        <sz val="10"/>
        <rFont val="Arial"/>
        <family val="0"/>
        <charset val="1"/>
      </rPr>
      <t xml:space="preserve">[</t>
    </r>
    <r>
      <rPr>
        <i val="true"/>
        <sz val="10"/>
        <rFont val="Noto Sans CJK SC"/>
        <family val="2"/>
      </rPr>
      <t xml:space="preserve">가정</t>
    </r>
    <r>
      <rPr>
        <i val="true"/>
        <sz val="10"/>
        <rFont val="Arial"/>
        <family val="0"/>
        <charset val="1"/>
      </rPr>
      <t xml:space="preserve">] </t>
    </r>
    <r>
      <rPr>
        <i val="true"/>
        <sz val="10"/>
        <rFont val="Noto Sans CJK SC"/>
        <family val="2"/>
      </rPr>
      <t xml:space="preserve">시트의 상수를 참조하므로 가정을 바꾸면 자동 갱신됩니다</t>
    </r>
    <r>
      <rPr>
        <i val="true"/>
        <sz val="10"/>
        <rFont val="Arial"/>
        <family val="0"/>
        <charset val="1"/>
      </rPr>
      <t xml:space="preserve">. </t>
    </r>
    <r>
      <rPr>
        <i val="true"/>
        <sz val="10"/>
        <rFont val="Noto Sans CJK SC"/>
        <family val="2"/>
      </rPr>
      <t xml:space="preserve">아래 보조 계산 행을 함께 보세요</t>
    </r>
    <r>
      <rPr>
        <i val="true"/>
        <sz val="10"/>
        <rFont val="Arial"/>
        <family val="0"/>
        <charset val="1"/>
      </rPr>
      <t xml:space="preserve">.</t>
    </r>
  </si>
  <si>
    <t xml:space="preserve">변수</t>
  </si>
  <si>
    <t xml:space="preserve">단위</t>
  </si>
  <si>
    <r>
      <rPr>
        <b val="true"/>
        <sz val="10"/>
        <rFont val="Noto Sans CJK SC"/>
        <family val="2"/>
      </rPr>
      <t xml:space="preserve">산정 방법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계산식</t>
    </r>
  </si>
  <si>
    <t xml:space="preserve">kg/t FM</t>
  </si>
  <si>
    <r>
      <rPr>
        <sz val="9"/>
        <rFont val="Noto Sans CJK SC"/>
        <family val="2"/>
      </rPr>
      <t xml:space="preserve">희석 후 모델 총 </t>
    </r>
    <r>
      <rPr>
        <sz val="9"/>
        <rFont val="Arial"/>
        <family val="0"/>
        <charset val="1"/>
      </rPr>
      <t xml:space="preserve">COD = R·</t>
    </r>
    <r>
      <rPr>
        <sz val="9"/>
        <rFont val="Noto Sans CJK SC"/>
        <family val="2"/>
      </rPr>
      <t xml:space="preserve">실측 </t>
    </r>
    <r>
      <rPr>
        <sz val="9"/>
        <rFont val="Arial"/>
        <family val="0"/>
        <charset val="1"/>
      </rPr>
      <t xml:space="preserve">COD </t>
    </r>
    <r>
      <rPr>
        <sz val="9"/>
        <rFont val="Noto Sans CJK SC"/>
        <family val="2"/>
      </rPr>
      <t xml:space="preserve">가 되도록 산정</t>
    </r>
    <r>
      <rPr>
        <sz val="9"/>
        <rFont val="Arial"/>
        <family val="0"/>
        <charset val="1"/>
      </rPr>
      <t xml:space="preserve">. R=1/(1+w_water). TS&lt;200</t>
    </r>
    <r>
      <rPr>
        <sz val="9"/>
        <rFont val="Noto Sans CJK SC"/>
        <family val="2"/>
      </rPr>
      <t xml:space="preserve">이면 </t>
    </r>
    <r>
      <rPr>
        <sz val="9"/>
        <rFont val="Arial"/>
        <family val="0"/>
        <charset val="1"/>
      </rPr>
      <t xml:space="preserve">X/q, </t>
    </r>
    <r>
      <rPr>
        <sz val="9"/>
        <rFont val="Noto Sans CJK SC"/>
        <family val="2"/>
      </rPr>
      <t xml:space="preserve">아니면 밀도식 폐형해 </t>
    </r>
    <r>
      <rPr>
        <sz val="9"/>
        <rFont val="Arial"/>
        <family val="0"/>
        <charset val="1"/>
      </rPr>
      <t xml:space="preserve">X·B/(q−X·A)×1000</t>
    </r>
  </si>
  <si>
    <t xml:space="preserve">NH4</t>
  </si>
  <si>
    <t xml:space="preserve">kg N/m³</t>
  </si>
  <si>
    <r>
      <rPr>
        <sz val="9"/>
        <rFont val="Arial"/>
        <family val="0"/>
        <charset val="1"/>
      </rPr>
      <t xml:space="preserve">TAN_m × R (</t>
    </r>
    <r>
      <rPr>
        <sz val="9"/>
        <rFont val="Noto Sans CJK SC"/>
        <family val="2"/>
      </rPr>
      <t xml:space="preserve">물로 희석</t>
    </r>
    <r>
      <rPr>
        <sz val="9"/>
        <rFont val="Arial"/>
        <family val="0"/>
        <charset val="1"/>
      </rPr>
      <t xml:space="preserve">)</t>
    </r>
  </si>
  <si>
    <t xml:space="preserve">BGP</t>
  </si>
  <si>
    <t xml:space="preserve">Nm³/t VS</t>
  </si>
  <si>
    <r>
      <rPr>
        <sz val="9"/>
        <rFont val="Arial"/>
        <family val="0"/>
        <charset val="1"/>
      </rPr>
      <t xml:space="preserve">BMP_VS,m / f_CH4,m ,  f_CH4=ΣX_i / Σ(X_i/MP_i)  (</t>
    </r>
    <r>
      <rPr>
        <sz val="9"/>
        <rFont val="Noto Sans CJK SC"/>
        <family val="2"/>
      </rPr>
      <t xml:space="preserve">참고용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모델 계산에 미사용</t>
    </r>
    <r>
      <rPr>
        <sz val="9"/>
        <rFont val="Arial"/>
        <family val="0"/>
        <charset val="1"/>
      </rPr>
      <t xml:space="preserve">)</t>
    </r>
  </si>
  <si>
    <t xml:space="preserve">BMP</t>
  </si>
  <si>
    <t xml:space="preserve">Nm³ CH₄/t VS</t>
  </si>
  <si>
    <r>
      <rPr>
        <sz val="9"/>
        <rFont val="Noto Sans CJK SC"/>
        <family val="2"/>
      </rPr>
      <t xml:space="preserve">논문 </t>
    </r>
    <r>
      <rPr>
        <sz val="9"/>
        <rFont val="Arial"/>
        <family val="0"/>
        <charset val="1"/>
      </rPr>
      <t xml:space="preserve">Table 2 VS </t>
    </r>
    <r>
      <rPr>
        <sz val="9"/>
        <rFont val="Noto Sans CJK SC"/>
        <family val="2"/>
      </rPr>
      <t xml:space="preserve">기준 </t>
    </r>
    <r>
      <rPr>
        <sz val="9"/>
        <rFont val="Arial"/>
        <family val="0"/>
        <charset val="1"/>
      </rPr>
      <t xml:space="preserve">BMP (10</t>
    </r>
    <r>
      <rPr>
        <sz val="9"/>
        <rFont val="Noto Sans CJK SC"/>
        <family val="2"/>
      </rPr>
      <t xml:space="preserve">월은 </t>
    </r>
    <r>
      <rPr>
        <sz val="9"/>
        <rFont val="Arial"/>
        <family val="0"/>
        <charset val="1"/>
      </rPr>
      <t xml:space="preserve">9·11</t>
    </r>
    <r>
      <rPr>
        <sz val="9"/>
        <rFont val="Noto Sans CJK SC"/>
        <family val="2"/>
      </rPr>
      <t xml:space="preserve">월 평균 보간</t>
    </r>
    <r>
      <rPr>
        <sz val="9"/>
        <rFont val="Arial"/>
        <family val="0"/>
        <charset val="1"/>
      </rPr>
      <t xml:space="preserve">) (</t>
    </r>
    <r>
      <rPr>
        <sz val="9"/>
        <rFont val="Noto Sans CJK SC"/>
        <family val="2"/>
      </rPr>
      <t xml:space="preserve">참고용</t>
    </r>
    <r>
      <rPr>
        <sz val="9"/>
        <rFont val="Arial"/>
        <family val="0"/>
        <charset val="1"/>
      </rPr>
      <t xml:space="preserve">)</t>
    </r>
  </si>
  <si>
    <t xml:space="preserve">aXI</t>
  </si>
  <si>
    <t xml:space="preserve">a_total,m × share_XI(2/3)</t>
  </si>
  <si>
    <t xml:space="preserve">fOTSrf</t>
  </si>
  <si>
    <r>
      <rPr>
        <sz val="9"/>
        <rFont val="Noto Sans CJK SC"/>
        <family val="2"/>
      </rPr>
      <t xml:space="preserve">가정 상수 </t>
    </r>
    <r>
      <rPr>
        <sz val="9"/>
        <rFont val="Arial"/>
        <family val="0"/>
        <charset val="1"/>
      </rPr>
      <t xml:space="preserve">0.80 (</t>
    </r>
    <r>
      <rPr>
        <sz val="9"/>
        <rFont val="Noto Sans CJK SC"/>
        <family val="2"/>
      </rPr>
      <t xml:space="preserve">논문에 없음</t>
    </r>
    <r>
      <rPr>
        <sz val="9"/>
        <rFont val="Arial"/>
        <family val="0"/>
        <charset val="1"/>
      </rPr>
      <t xml:space="preserve">)</t>
    </r>
  </si>
  <si>
    <t xml:space="preserve">fsOTS</t>
  </si>
  <si>
    <t xml:space="preserve">1 − ffOTS,m (= 0)</t>
  </si>
  <si>
    <t xml:space="preserve">ffOTS</t>
  </si>
  <si>
    <r>
      <rPr>
        <sz val="9"/>
        <rFont val="Arial"/>
        <family val="0"/>
        <charset val="1"/>
      </rPr>
      <t xml:space="preserve">1.0 (</t>
    </r>
    <r>
      <rPr>
        <sz val="9"/>
        <rFont val="Noto Sans CJK SC"/>
        <family val="2"/>
      </rPr>
      <t xml:space="preserve">가정 시트 </t>
    </r>
    <r>
      <rPr>
        <sz val="9"/>
        <rFont val="Arial"/>
        <family val="0"/>
        <charset val="1"/>
      </rPr>
      <t xml:space="preserve">ffOTS_FW). </t>
    </r>
    <r>
      <rPr>
        <sz val="9"/>
        <rFont val="Noto Sans CJK SC"/>
        <family val="2"/>
      </rPr>
      <t xml:space="preserve">근거</t>
    </r>
    <r>
      <rPr>
        <sz val="9"/>
        <rFont val="Arial"/>
        <family val="0"/>
        <charset val="1"/>
      </rPr>
      <t xml:space="preserve">: </t>
    </r>
    <r>
      <rPr>
        <sz val="9"/>
        <rFont val="Noto Sans CJK SC"/>
        <family val="2"/>
      </rPr>
      <t xml:space="preserve">논문 </t>
    </r>
    <r>
      <rPr>
        <sz val="9"/>
        <rFont val="Arial"/>
        <family val="0"/>
        <charset val="1"/>
      </rPr>
      <t xml:space="preserve">Rm/BMP_COD = 0.20~0.44 d⁻¹ (k_1st </t>
    </r>
    <r>
      <rPr>
        <sz val="9"/>
        <rFont val="Noto Sans CJK SC"/>
        <family val="2"/>
      </rPr>
      <t xml:space="preserve">행</t>
    </r>
    <r>
      <rPr>
        <sz val="9"/>
        <rFont val="Arial"/>
        <family val="0"/>
        <charset val="1"/>
      </rPr>
      <t xml:space="preserve">) ≈ ADM1da </t>
    </r>
    <r>
      <rPr>
        <sz val="9"/>
        <rFont val="Noto Sans CJK SC"/>
        <family val="2"/>
      </rPr>
      <t xml:space="preserve">빠른 풀 </t>
    </r>
    <r>
      <rPr>
        <sz val="9"/>
        <rFont val="Arial"/>
        <family val="0"/>
        <charset val="1"/>
      </rPr>
      <t xml:space="preserve">0.4 d⁻¹ ≫ </t>
    </r>
    <r>
      <rPr>
        <sz val="9"/>
        <rFont val="Noto Sans CJK SC"/>
        <family val="2"/>
      </rPr>
      <t xml:space="preserve">느린 풀 </t>
    </r>
    <r>
      <rPr>
        <sz val="9"/>
        <rFont val="Arial"/>
        <family val="0"/>
        <charset val="1"/>
      </rPr>
      <t xml:space="preserve">0.04. SCOD </t>
    </r>
    <r>
      <rPr>
        <sz val="9"/>
        <rFont val="Noto Sans CJK SC"/>
        <family val="2"/>
      </rPr>
      <t xml:space="preserve">기반 분할값은 참고 행에 유지</t>
    </r>
  </si>
  <si>
    <t xml:space="preserve">aSi</t>
  </si>
  <si>
    <t xml:space="preserve">a_total,m × (1 − share_XI)</t>
  </si>
  <si>
    <t xml:space="preserve">fRF</t>
  </si>
  <si>
    <t xml:space="preserve">-TS</t>
  </si>
  <si>
    <r>
      <rPr>
        <sz val="9"/>
        <rFont val="Noto Sans CJK SC"/>
        <family val="2"/>
      </rPr>
      <t xml:space="preserve">가정 상수 </t>
    </r>
    <r>
      <rPr>
        <sz val="9"/>
        <rFont val="Arial"/>
        <family val="0"/>
        <charset val="1"/>
      </rPr>
      <t xml:space="preserve">0.04 (</t>
    </r>
    <r>
      <rPr>
        <sz val="9"/>
        <rFont val="Noto Sans CJK SC"/>
        <family val="2"/>
      </rPr>
      <t xml:space="preserve">논문에 없음</t>
    </r>
    <r>
      <rPr>
        <sz val="9"/>
        <rFont val="Arial"/>
        <family val="0"/>
        <charset val="1"/>
      </rPr>
      <t xml:space="preserve">)</t>
    </r>
  </si>
  <si>
    <t xml:space="preserve">fRP</t>
  </si>
  <si>
    <r>
      <rPr>
        <sz val="9"/>
        <rFont val="Noto Sans CJK SC"/>
        <family val="2"/>
      </rPr>
      <t xml:space="preserve">단백질</t>
    </r>
    <r>
      <rPr>
        <sz val="9"/>
        <rFont val="Arial"/>
        <family val="0"/>
        <charset val="1"/>
      </rPr>
      <t xml:space="preserve">(%VS)/100 × VS/TS</t>
    </r>
  </si>
  <si>
    <t xml:space="preserve">fRFe</t>
  </si>
  <si>
    <r>
      <rPr>
        <sz val="9"/>
        <rFont val="Noto Sans CJK SC"/>
        <family val="2"/>
      </rPr>
      <t xml:space="preserve">지방</t>
    </r>
    <r>
      <rPr>
        <sz val="9"/>
        <rFont val="Arial"/>
        <family val="0"/>
        <charset val="1"/>
      </rPr>
      <t xml:space="preserve">(%VS)/100 × VS/TS</t>
    </r>
  </si>
  <si>
    <t xml:space="preserve">fRA</t>
  </si>
  <si>
    <t xml:space="preserve">1 − VS/TS</t>
  </si>
  <si>
    <t xml:space="preserve">Temp</t>
  </si>
  <si>
    <t xml:space="preserve">°C</t>
  </si>
  <si>
    <r>
      <rPr>
        <sz val="9"/>
        <rFont val="Noto Sans CJK SC"/>
        <family val="2"/>
      </rPr>
      <t xml:space="preserve">실측 입력값 </t>
    </r>
    <r>
      <rPr>
        <sz val="9"/>
        <rFont val="Arial"/>
        <family val="0"/>
        <charset val="1"/>
      </rPr>
      <t xml:space="preserve">35 (</t>
    </r>
    <r>
      <rPr>
        <sz val="9"/>
        <rFont val="Noto Sans CJK SC"/>
        <family val="2"/>
      </rPr>
      <t xml:space="preserve">사용자 제공</t>
    </r>
    <r>
      <rPr>
        <sz val="9"/>
        <rFont val="Arial"/>
        <family val="0"/>
        <charset val="1"/>
      </rPr>
      <t xml:space="preserve">). </t>
    </r>
    <r>
      <rPr>
        <sz val="9"/>
        <rFont val="Noto Sans CJK SC"/>
        <family val="2"/>
      </rPr>
      <t xml:space="preserve">모델 계산식에는 쓰이지 않고 </t>
    </r>
    <r>
      <rPr>
        <sz val="9"/>
        <rFont val="Arial"/>
        <family val="0"/>
        <charset val="1"/>
      </rPr>
      <t xml:space="preserve">Kw·Ka </t>
    </r>
    <r>
      <rPr>
        <sz val="9"/>
        <rFont val="Noto Sans CJK SC"/>
        <family val="2"/>
      </rPr>
      <t xml:space="preserve">등 </t>
    </r>
    <r>
      <rPr>
        <sz val="9"/>
        <rFont val="Arial"/>
        <family val="0"/>
        <charset val="1"/>
      </rPr>
      <t xml:space="preserve">35℃ </t>
    </r>
    <r>
      <rPr>
        <sz val="9"/>
        <rFont val="Noto Sans CJK SC"/>
        <family val="2"/>
      </rPr>
      <t xml:space="preserve">상수와 일치</t>
    </r>
  </si>
  <si>
    <r>
      <rPr>
        <sz val="9"/>
        <rFont val="Noto Sans CJK SC"/>
        <family val="2"/>
      </rPr>
      <t xml:space="preserve">실측 입력값 </t>
    </r>
    <r>
      <rPr>
        <sz val="9"/>
        <rFont val="Arial"/>
        <family val="0"/>
        <charset val="1"/>
      </rPr>
      <t xml:space="preserve">7 (</t>
    </r>
    <r>
      <rPr>
        <sz val="9"/>
        <rFont val="Noto Sans CJK SC"/>
        <family val="2"/>
      </rPr>
      <t xml:space="preserve">사용자 제공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중간저장조</t>
    </r>
    <r>
      <rPr>
        <sz val="9"/>
        <rFont val="Arial"/>
        <family val="0"/>
        <charset val="1"/>
      </rPr>
      <t xml:space="preserve">). </t>
    </r>
    <r>
      <rPr>
        <sz val="9"/>
        <rFont val="Noto Sans CJK SC"/>
        <family val="2"/>
      </rPr>
      <t xml:space="preserve">표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의 원물 </t>
    </r>
    <r>
      <rPr>
        <sz val="9"/>
        <rFont val="Arial"/>
        <family val="0"/>
        <charset val="1"/>
      </rPr>
      <t xml:space="preserve">pH</t>
    </r>
    <r>
      <rPr>
        <sz val="9"/>
        <rFont val="Noto Sans CJK SC"/>
        <family val="2"/>
      </rPr>
      <t xml:space="preserve">와 다름</t>
    </r>
  </si>
  <si>
    <t xml:space="preserve">KS43</t>
  </si>
  <si>
    <t xml:space="preserve">mol/m³</t>
  </si>
  <si>
    <r>
      <rPr>
        <sz val="9"/>
        <rFont val="Arial"/>
        <family val="0"/>
        <charset val="1"/>
      </rPr>
      <t xml:space="preserve">KS43_vfa + ΔKS43(</t>
    </r>
    <r>
      <rPr>
        <sz val="9"/>
        <rFont val="Noto Sans CJK SC"/>
        <family val="2"/>
      </rPr>
      <t xml:space="preserve">약품</t>
    </r>
    <r>
      <rPr>
        <sz val="9"/>
        <rFont val="Arial"/>
        <family val="0"/>
        <charset val="1"/>
      </rPr>
      <t xml:space="preserve">).  KS43_vfa = max(0, FFS/60.05×1000×[α(pH)−α(4.3)]), ΔKS43 = dose_on·max(0, KS43_tgt − KS43_vfa)</t>
    </r>
  </si>
  <si>
    <t xml:space="preserve">FFS</t>
  </si>
  <si>
    <t xml:space="preserve">kg HAc/m³</t>
  </si>
  <si>
    <r>
      <rPr>
        <sz val="9"/>
        <rFont val="Arial"/>
        <family val="0"/>
        <charset val="1"/>
      </rPr>
      <t xml:space="preserve">TVFAs_m × R (</t>
    </r>
    <r>
      <rPr>
        <sz val="9"/>
        <rFont val="Noto Sans CJK SC"/>
        <family val="2"/>
      </rPr>
      <t xml:space="preserve">물로 희석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아세트산 환산 근사</t>
    </r>
    <r>
      <rPr>
        <sz val="9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</si>
  <si>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보조 계산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표</t>
    </r>
    <r>
      <rPr>
        <b val="true"/>
        <sz val="11"/>
        <rFont val="Arial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산정용</t>
    </r>
    <r>
      <rPr>
        <b val="true"/>
        <sz val="11"/>
        <rFont val="Arial"/>
        <family val="0"/>
        <charset val="1"/>
      </rPr>
      <t xml:space="preserve">)</t>
    </r>
  </si>
  <si>
    <t xml:space="preserve">VS/TS</t>
  </si>
  <si>
    <r>
      <rPr>
        <sz val="9"/>
        <rFont val="Arial"/>
        <family val="0"/>
        <charset val="1"/>
      </rPr>
      <t xml:space="preserve">VS_m / TS_m (</t>
    </r>
    <r>
      <rPr>
        <sz val="9"/>
        <rFont val="Noto Sans CJK SC"/>
        <family val="2"/>
      </rPr>
      <t xml:space="preserve">표</t>
    </r>
    <r>
      <rPr>
        <sz val="9"/>
        <rFont val="Arial"/>
        <family val="0"/>
        <charset val="1"/>
      </rPr>
      <t xml:space="preserve">1)</t>
    </r>
  </si>
  <si>
    <r>
      <rPr>
        <sz val="10"/>
        <rFont val="Arial"/>
        <family val="0"/>
        <charset val="1"/>
      </rPr>
      <t xml:space="preserve">S_ac </t>
    </r>
    <r>
      <rPr>
        <sz val="10"/>
        <rFont val="Noto Sans CJK SC"/>
        <family val="2"/>
      </rPr>
      <t xml:space="preserve">원물 </t>
    </r>
    <r>
      <rPr>
        <sz val="10"/>
        <rFont val="Arial"/>
        <family val="0"/>
        <charset val="1"/>
      </rPr>
      <t xml:space="preserve">(=FFS_m/M_Sac)</t>
    </r>
  </si>
  <si>
    <t xml:space="preserve">kg COD/m³</t>
  </si>
  <si>
    <t xml:space="preserve">FFS_m / M_Sac</t>
  </si>
  <si>
    <r>
      <rPr>
        <sz val="10"/>
        <rFont val="Arial"/>
        <family val="0"/>
        <charset val="1"/>
      </rPr>
      <t xml:space="preserve">q (TS 1 kg</t>
    </r>
    <r>
      <rPr>
        <sz val="10"/>
        <rFont val="Noto Sans CJK SC"/>
        <family val="2"/>
      </rPr>
      <t xml:space="preserve">당 분해성 </t>
    </r>
    <r>
      <rPr>
        <sz val="10"/>
        <rFont val="Arial"/>
        <family val="0"/>
        <charset val="1"/>
      </rPr>
      <t xml:space="preserve">COD)</t>
    </r>
  </si>
  <si>
    <t xml:space="preserve">kg COD/kg TS</t>
  </si>
  <si>
    <t xml:space="preserve">{[(1−fRF−fRP−fRFe−fRA)+fRF·fOTSrf]/M_Xch + fRP/M_Xpr + fRFe/M_Xli}</t>
  </si>
  <si>
    <r>
      <rPr>
        <sz val="10"/>
        <rFont val="Arial"/>
        <family val="0"/>
        <charset val="1"/>
      </rPr>
      <t xml:space="preserve">X_org </t>
    </r>
    <r>
      <rPr>
        <sz val="10"/>
        <rFont val="Noto Sans CJK SC"/>
        <family val="2"/>
      </rPr>
      <t xml:space="preserve">원물 목표 </t>
    </r>
    <r>
      <rPr>
        <sz val="10"/>
        <rFont val="Arial"/>
        <family val="0"/>
        <charset val="1"/>
      </rPr>
      <t xml:space="preserve">(=COD_m−S_ac </t>
    </r>
    <r>
      <rPr>
        <sz val="10"/>
        <rFont val="Noto Sans CJK SC"/>
        <family val="2"/>
      </rPr>
      <t xml:space="preserve">원물</t>
    </r>
    <r>
      <rPr>
        <sz val="10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</si>
  <si>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COD_m − S_ac </t>
    </r>
    <r>
      <rPr>
        <sz val="9"/>
        <rFont val="Noto Sans CJK SC"/>
        <family val="2"/>
      </rPr>
      <t xml:space="preserve">원물</t>
    </r>
  </si>
  <si>
    <r>
      <rPr>
        <sz val="10"/>
        <rFont val="Arial"/>
        <family val="0"/>
        <charset val="1"/>
      </rPr>
      <t xml:space="preserve">A (</t>
    </r>
    <r>
      <rPr>
        <sz val="10"/>
        <rFont val="Noto Sans CJK SC"/>
        <family val="2"/>
      </rPr>
      <t xml:space="preserve">비체적 계수</t>
    </r>
    <r>
      <rPr>
        <sz val="10"/>
        <rFont val="Arial"/>
        <family val="0"/>
        <charset val="1"/>
      </rPr>
      <t xml:space="preserve">)</t>
    </r>
  </si>
  <si>
    <t xml:space="preserve">m³/kg</t>
  </si>
  <si>
    <r>
      <rPr>
        <sz val="9"/>
        <rFont val="Arial"/>
        <family val="0"/>
        <charset val="1"/>
      </rPr>
      <t xml:space="preserve">(1−fRP−fRFe−fRA)/ρ_CH + fRP/ρ_PR + fRFe/ρ_LI + fRA/ρ_MI − 1/ρ_H2O  (feedstock._calc_density </t>
    </r>
    <r>
      <rPr>
        <sz val="9"/>
        <rFont val="Noto Sans CJK SC"/>
        <family val="2"/>
      </rPr>
      <t xml:space="preserve">분해</t>
    </r>
    <r>
      <rPr>
        <sz val="9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</si>
  <si>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B (</t>
    </r>
    <r>
      <rPr>
        <sz val="10"/>
        <rFont val="Noto Sans CJK SC"/>
        <family val="2"/>
      </rPr>
      <t xml:space="preserve">비체적 상수</t>
    </r>
    <r>
      <rPr>
        <sz val="10"/>
        <rFont val="Arial"/>
        <family val="0"/>
        <charset val="1"/>
      </rPr>
      <t xml:space="preserve">)</t>
    </r>
  </si>
  <si>
    <t xml:space="preserve">(1−f_AC)/ρ_H2O + f_AC/ρ_AC ,  f_AC=FFS/1000</t>
  </si>
  <si>
    <r>
      <rPr>
        <sz val="10"/>
        <rFont val="Arial"/>
        <family val="0"/>
        <charset val="1"/>
      </rPr>
      <t xml:space="preserve">TS₀ </t>
    </r>
    <r>
      <rPr>
        <sz val="10"/>
        <rFont val="Noto Sans CJK SC"/>
        <family val="2"/>
      </rPr>
      <t xml:space="preserve">원물 </t>
    </r>
    <r>
      <rPr>
        <sz val="10"/>
        <rFont val="Arial"/>
        <family val="0"/>
        <charset val="1"/>
      </rPr>
      <t xml:space="preserve">(ρ=1000 </t>
    </r>
    <r>
      <rPr>
        <sz val="10"/>
        <rFont val="Noto Sans CJK SC"/>
        <family val="2"/>
      </rPr>
      <t xml:space="preserve">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참고</t>
    </r>
    <r>
      <rPr>
        <sz val="10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</si>
  <si>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X_org </t>
    </r>
    <r>
      <rPr>
        <sz val="9"/>
        <rFont val="Noto Sans CJK SC"/>
        <family val="2"/>
      </rPr>
      <t xml:space="preserve">원물 </t>
    </r>
    <r>
      <rPr>
        <sz val="9"/>
        <rFont val="Arial"/>
        <family val="0"/>
        <charset val="1"/>
      </rPr>
      <t xml:space="preserve">/ q  — </t>
    </r>
    <r>
      <rPr>
        <sz val="9"/>
        <rFont val="Noto Sans CJK SC"/>
        <family val="2"/>
      </rPr>
      <t xml:space="preserve">물 타기 전 모델 </t>
    </r>
    <r>
      <rPr>
        <sz val="9"/>
        <rFont val="Arial"/>
        <family val="0"/>
        <charset val="1"/>
      </rPr>
      <t xml:space="preserve">TS(ρ=1000 </t>
    </r>
    <r>
      <rPr>
        <sz val="9"/>
        <rFont val="Noto Sans CJK SC"/>
        <family val="2"/>
      </rPr>
      <t xml:space="preserve">기준</t>
    </r>
    <r>
      <rPr>
        <sz val="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</si>
  <si>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희석비 </t>
    </r>
    <r>
      <rPr>
        <sz val="10"/>
        <rFont val="Arial"/>
        <family val="0"/>
        <charset val="1"/>
      </rPr>
      <t xml:space="preserve">R = 1/(1+w_water)</t>
    </r>
  </si>
  <si>
    <r>
      <rPr>
        <sz val="9"/>
        <rFont val="Arial"/>
        <family val="0"/>
        <charset val="1"/>
      </rPr>
      <t xml:space="preserve">1/(1+w_water)  [</t>
    </r>
    <r>
      <rPr>
        <sz val="9"/>
        <rFont val="Noto Sans CJK SC"/>
        <family val="2"/>
      </rPr>
      <t xml:space="preserve">가정 시트</t>
    </r>
    <r>
      <rPr>
        <sz val="9"/>
        <rFont val="Arial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</si>
  <si>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소화조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기 유입량 </t>
    </r>
    <r>
      <rPr>
        <sz val="10"/>
        <rFont val="Arial"/>
        <family val="0"/>
        <charset val="1"/>
      </rPr>
      <t xml:space="preserve">Q</t>
    </r>
  </si>
  <si>
    <t xml:space="preserve">m³/d</t>
  </si>
  <si>
    <r>
      <rPr>
        <sz val="9"/>
        <rFont val="Arial"/>
        <family val="0"/>
        <charset val="1"/>
      </rPr>
      <t xml:space="preserve">Q_feed [</t>
    </r>
    <r>
      <rPr>
        <sz val="9"/>
        <rFont val="Noto Sans CJK SC"/>
        <family val="2"/>
      </rPr>
      <t xml:space="preserve">가정 시트</t>
    </r>
    <r>
      <rPr>
        <sz val="9"/>
        <rFont val="Arial"/>
        <family val="0"/>
        <charset val="1"/>
      </rPr>
      <t xml:space="preserve">] — </t>
    </r>
    <r>
      <rPr>
        <sz val="9"/>
        <rFont val="Noto Sans CJK SC"/>
        <family val="2"/>
      </rPr>
      <t xml:space="preserve">희석 슬러리 유량 </t>
    </r>
    <r>
      <rPr>
        <sz val="9"/>
        <rFont val="Arial"/>
        <family val="0"/>
        <charset val="1"/>
      </rPr>
      <t xml:space="preserve">(ρ≈1000)</t>
    </r>
  </si>
  <si>
    <r>
      <rPr>
        <sz val="10"/>
        <rFont val="Noto Sans CJK SC"/>
        <family val="2"/>
      </rPr>
      <t xml:space="preserve">원물 투입량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전체</t>
    </r>
    <r>
      <rPr>
        <sz val="10"/>
        <rFont val="Arial"/>
        <family val="0"/>
        <charset val="1"/>
      </rPr>
      <t xml:space="preserve">)</t>
    </r>
  </si>
  <si>
    <t xml:space="preserve">t/d</t>
  </si>
  <si>
    <r>
      <rPr>
        <sz val="9"/>
        <rFont val="Arial"/>
        <family val="0"/>
        <charset val="1"/>
      </rPr>
      <t xml:space="preserve">Q·N_dig/(1+w_water)  — </t>
    </r>
    <r>
      <rPr>
        <sz val="9"/>
        <rFont val="Noto Sans CJK SC"/>
        <family val="2"/>
      </rPr>
      <t xml:space="preserve">이 유량에 담긴 원물량</t>
    </r>
  </si>
  <si>
    <t xml:space="preserve">HRT = V/Q</t>
  </si>
  <si>
    <t xml:space="preserve">d</t>
  </si>
  <si>
    <t xml:space="preserve">V_liq / Q</t>
  </si>
  <si>
    <r>
      <rPr>
        <sz val="10"/>
        <rFont val="Arial"/>
        <family val="0"/>
        <charset val="1"/>
      </rPr>
      <t xml:space="preserve">k_1st ≈ Rm/BMP_COD (</t>
    </r>
    <r>
      <rPr>
        <sz val="10"/>
        <rFont val="Noto Sans CJK SC"/>
        <family val="2"/>
      </rPr>
      <t xml:space="preserve">논문 </t>
    </r>
    <r>
      <rPr>
        <sz val="10"/>
        <rFont val="Arial"/>
        <family val="0"/>
        <charset val="1"/>
      </rPr>
      <t xml:space="preserve">BMP 1</t>
    </r>
    <r>
      <rPr>
        <sz val="10"/>
        <rFont val="Noto Sans CJK SC"/>
        <family val="2"/>
      </rPr>
      <t xml:space="preserve">차 분해속도</t>
    </r>
    <r>
      <rPr>
        <sz val="10"/>
        <rFont val="Arial"/>
        <family val="0"/>
        <charset val="1"/>
      </rPr>
      <t xml:space="preserve">)</t>
    </r>
  </si>
  <si>
    <t xml:space="preserve">d⁻¹</t>
  </si>
  <si>
    <r>
      <rPr>
        <sz val="9"/>
        <rFont val="Arial"/>
        <family val="0"/>
        <charset val="1"/>
      </rPr>
      <t xml:space="preserve">Rm_m / BMP_COD,m (</t>
    </r>
    <r>
      <rPr>
        <sz val="9"/>
        <rFont val="Noto Sans CJK SC"/>
        <family val="2"/>
      </rPr>
      <t xml:space="preserve">표</t>
    </r>
    <r>
      <rPr>
        <sz val="9"/>
        <rFont val="Arial"/>
        <family val="0"/>
        <charset val="1"/>
      </rPr>
      <t xml:space="preserve">1) — modified Gompertz </t>
    </r>
    <r>
      <rPr>
        <sz val="9"/>
        <rFont val="Noto Sans CJK SC"/>
        <family val="2"/>
      </rPr>
      <t xml:space="preserve">최대속도를 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차 속도상수로 환산</t>
    </r>
    <r>
      <rPr>
        <sz val="9"/>
        <rFont val="Arial"/>
        <family val="0"/>
        <charset val="1"/>
      </rPr>
      <t xml:space="preserve">. 0.20~0.44 → </t>
    </r>
    <r>
      <rPr>
        <sz val="9"/>
        <rFont val="Noto Sans CJK SC"/>
        <family val="2"/>
      </rPr>
      <t xml:space="preserve">음식물은 빠른 풀</t>
    </r>
  </si>
  <si>
    <r>
      <rPr>
        <sz val="10"/>
        <rFont val="Arial"/>
        <family val="0"/>
        <charset val="1"/>
      </rPr>
      <t xml:space="preserve">S_ac </t>
    </r>
    <r>
      <rPr>
        <sz val="10"/>
        <rFont val="Noto Sans CJK SC"/>
        <family val="2"/>
      </rPr>
      <t xml:space="preserve">희석 후 </t>
    </r>
    <r>
      <rPr>
        <sz val="10"/>
        <rFont val="Arial"/>
        <family val="0"/>
        <charset val="1"/>
      </rPr>
      <t xml:space="preserve">(=R·S_ac </t>
    </r>
    <r>
      <rPr>
        <sz val="10"/>
        <rFont val="Noto Sans CJK SC"/>
        <family val="2"/>
      </rPr>
      <t xml:space="preserve">원물</t>
    </r>
    <r>
      <rPr>
        <sz val="10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</si>
  <si>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R·S_ac </t>
    </r>
    <r>
      <rPr>
        <sz val="9"/>
        <rFont val="Noto Sans CJK SC"/>
        <family val="2"/>
      </rPr>
      <t xml:space="preserve">원물</t>
    </r>
  </si>
  <si>
    <r>
      <rPr>
        <sz val="10"/>
        <rFont val="Arial"/>
        <family val="0"/>
        <charset val="1"/>
      </rPr>
      <t xml:space="preserve">X_org </t>
    </r>
    <r>
      <rPr>
        <sz val="10"/>
        <rFont val="Noto Sans CJK SC"/>
        <family val="2"/>
      </rPr>
      <t xml:space="preserve">목표 희석 후 </t>
    </r>
    <r>
      <rPr>
        <sz val="10"/>
        <rFont val="Arial"/>
        <family val="0"/>
        <charset val="1"/>
      </rPr>
      <t xml:space="preserve">(=R·X_org </t>
    </r>
    <r>
      <rPr>
        <sz val="10"/>
        <rFont val="Noto Sans CJK SC"/>
        <family val="2"/>
      </rPr>
      <t xml:space="preserve">원물</t>
    </r>
    <r>
      <rPr>
        <sz val="10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</si>
  <si>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R·X_org </t>
    </r>
    <r>
      <rPr>
        <sz val="9"/>
        <rFont val="Noto Sans CJK SC"/>
        <family val="2"/>
      </rPr>
      <t xml:space="preserve">원물</t>
    </r>
  </si>
  <si>
    <r>
      <rPr>
        <sz val="10"/>
        <rFont val="Arial"/>
        <family val="0"/>
        <charset val="1"/>
      </rPr>
      <t xml:space="preserve">TS₀ (ρ=1000 </t>
    </r>
    <r>
      <rPr>
        <sz val="10"/>
        <rFont val="Noto Sans CJK SC"/>
        <family val="2"/>
      </rPr>
      <t xml:space="preserve">해</t>
    </r>
    <r>
      <rPr>
        <sz val="10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</si>
  <si>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X_org / q   (TS&lt;200</t>
    </r>
    <r>
      <rPr>
        <sz val="9"/>
        <rFont val="Noto Sans CJK SC"/>
        <family val="2"/>
      </rPr>
      <t xml:space="preserve">이면 </t>
    </r>
    <r>
      <rPr>
        <sz val="9"/>
        <rFont val="Arial"/>
        <family val="0"/>
        <charset val="1"/>
      </rPr>
      <t xml:space="preserve">ρ=1000 </t>
    </r>
    <r>
      <rPr>
        <sz val="9"/>
        <rFont val="Noto Sans CJK SC"/>
        <family val="2"/>
      </rPr>
      <t xml:space="preserve">이므로 이 값이 해</t>
    </r>
    <r>
      <rPr>
        <sz val="9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</si>
  <si>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TS_c (</t>
    </r>
    <r>
      <rPr>
        <sz val="10"/>
        <rFont val="Noto Sans CJK SC"/>
        <family val="2"/>
      </rPr>
      <t xml:space="preserve">밀도식 폐형해</t>
    </r>
    <r>
      <rPr>
        <sz val="10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</si>
  <si>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1000·X·B/(q−X·A)   (TS≥200: X = fTS·ρ·q,  ρ=1/(A·fTS+B) </t>
    </r>
    <r>
      <rPr>
        <sz val="9"/>
        <rFont val="Noto Sans CJK SC"/>
        <family val="2"/>
      </rPr>
      <t xml:space="preserve">를 </t>
    </r>
    <r>
      <rPr>
        <sz val="9"/>
        <rFont val="Arial"/>
        <family val="0"/>
        <charset val="1"/>
      </rPr>
      <t xml:space="preserve">fTS</t>
    </r>
    <r>
      <rPr>
        <sz val="9"/>
        <rFont val="Noto Sans CJK SC"/>
        <family val="2"/>
      </rPr>
      <t xml:space="preserve">에 대해 정리</t>
    </r>
    <r>
      <rPr>
        <sz val="9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</si>
  <si>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ρ_FM (</t>
    </r>
    <r>
      <rPr>
        <sz val="10"/>
        <rFont val="Noto Sans CJK SC"/>
        <family val="2"/>
      </rPr>
      <t xml:space="preserve">라이브러리 밀도</t>
    </r>
    <r>
      <rPr>
        <sz val="10"/>
        <rFont val="Arial"/>
        <family val="0"/>
        <charset val="1"/>
      </rPr>
      <t xml:space="preserve">)</t>
    </r>
  </si>
  <si>
    <t xml:space="preserve">kg/m³</t>
  </si>
  <si>
    <t xml:space="preserve">TS&lt;200 → 1000 ,  TS≥200 → 1/(A·TS/1000+B)</t>
  </si>
  <si>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희석 후</t>
    </r>
  </si>
  <si>
    <t xml:space="preserve">TS·ρ/1000·(1−fRA)</t>
  </si>
  <si>
    <t xml:space="preserve">OLR = Q·VS/V</t>
  </si>
  <si>
    <t xml:space="preserve">kg VS/m³/d</t>
  </si>
  <si>
    <r>
      <rPr>
        <sz val="9"/>
        <rFont val="Arial"/>
        <family val="0"/>
        <charset val="1"/>
      </rPr>
      <t xml:space="preserve">Q·VS/V_liq  — </t>
    </r>
    <r>
      <rPr>
        <sz val="9"/>
        <rFont val="Noto Sans CJK SC"/>
        <family val="2"/>
      </rPr>
      <t xml:space="preserve">물을 타도 </t>
    </r>
    <r>
      <rPr>
        <sz val="9"/>
        <rFont val="Arial"/>
        <family val="0"/>
        <charset val="1"/>
      </rPr>
      <t xml:space="preserve">VS </t>
    </r>
    <r>
      <rPr>
        <sz val="9"/>
        <rFont val="Noto Sans CJK SC"/>
        <family val="2"/>
      </rPr>
      <t xml:space="preserve">질량 부하는 변하지 않음</t>
    </r>
  </si>
  <si>
    <r>
      <rPr>
        <sz val="10"/>
        <rFont val="Arial"/>
        <family val="0"/>
        <charset val="1"/>
      </rPr>
      <t xml:space="preserve">φ (BMP_COD </t>
    </r>
    <r>
      <rPr>
        <sz val="10"/>
        <rFont val="Noto Sans CJK SC"/>
        <family val="2"/>
      </rPr>
      <t xml:space="preserve">기준 분해가능 </t>
    </r>
    <r>
      <rPr>
        <sz val="10"/>
        <rFont val="Arial"/>
        <family val="0"/>
        <charset val="1"/>
      </rPr>
      <t xml:space="preserve">COD </t>
    </r>
    <r>
      <rPr>
        <sz val="10"/>
        <rFont val="Noto Sans CJK SC"/>
        <family val="2"/>
      </rPr>
      <t xml:space="preserve">비</t>
    </r>
    <r>
      <rPr>
        <sz val="10"/>
        <rFont val="Arial"/>
        <family val="0"/>
        <charset val="1"/>
      </rPr>
      <t xml:space="preserve">)</t>
    </r>
  </si>
  <si>
    <t xml:space="preserve">BMP_COD/1000 / (0.3502·(1−Y_loss))</t>
  </si>
  <si>
    <t xml:space="preserve">a_total (=aXI+aSi)</t>
  </si>
  <si>
    <r>
      <rPr>
        <sz val="9"/>
        <rFont val="Arial"/>
        <family val="0"/>
        <charset val="1"/>
      </rPr>
      <t xml:space="preserve">1 − (COD·φ − S_ac </t>
    </r>
    <r>
      <rPr>
        <sz val="9"/>
        <rFont val="Noto Sans CJK SC"/>
        <family val="2"/>
      </rPr>
      <t xml:space="preserve">원물</t>
    </r>
    <r>
      <rPr>
        <sz val="9"/>
        <rFont val="Arial"/>
        <family val="0"/>
        <charset val="1"/>
      </rPr>
      <t xml:space="preserve">)/X_org </t>
    </r>
    <r>
      <rPr>
        <sz val="9"/>
        <rFont val="Noto Sans CJK SC"/>
        <family val="2"/>
      </rPr>
      <t xml:space="preserve">원물 </t>
    </r>
    <r>
      <rPr>
        <sz val="9"/>
        <rFont val="Arial"/>
        <family val="0"/>
        <charset val="1"/>
      </rPr>
      <t xml:space="preserve">, 0~0.5</t>
    </r>
    <r>
      <rPr>
        <sz val="9"/>
        <rFont val="Noto Sans CJK SC"/>
        <family val="2"/>
      </rPr>
      <t xml:space="preserve">로 제한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희석에 불변</t>
    </r>
    <r>
      <rPr>
        <sz val="9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</si>
  <si>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X_fib (</t>
    </r>
    <r>
      <rPr>
        <sz val="10"/>
        <rFont val="Noto Sans CJK SC"/>
        <family val="2"/>
      </rPr>
      <t xml:space="preserve">분해가능 조섬유</t>
    </r>
    <r>
      <rPr>
        <sz val="10"/>
        <rFont val="Arial"/>
        <family val="0"/>
        <charset val="1"/>
      </rPr>
      <t xml:space="preserve">)</t>
    </r>
  </si>
  <si>
    <t xml:space="preserve">TS/1000·ρ·fRF·fOTSrf/M_Xch</t>
  </si>
  <si>
    <r>
      <rPr>
        <sz val="10"/>
        <rFont val="Arial"/>
        <family val="0"/>
        <charset val="1"/>
      </rPr>
      <t xml:space="preserve">X_org </t>
    </r>
    <r>
      <rPr>
        <sz val="10"/>
        <rFont val="Noto Sans CJK SC"/>
        <family val="2"/>
      </rPr>
      <t xml:space="preserve">모델값 </t>
    </r>
    <r>
      <rPr>
        <sz val="10"/>
        <rFont val="Arial"/>
        <family val="0"/>
        <charset val="1"/>
      </rPr>
      <t xml:space="preserve">(=TS·ρ·q)</t>
    </r>
  </si>
  <si>
    <t xml:space="preserve">TS/1000·ρ·q</t>
  </si>
  <si>
    <t xml:space="preserve">X_ch</t>
  </si>
  <si>
    <t xml:space="preserve">TS/1000·ρ·[(1−fRF−fRP−fRFe−fRA)+fRF·fOTSrf]/M_Xch</t>
  </si>
  <si>
    <t xml:space="preserve">X_pr</t>
  </si>
  <si>
    <t xml:space="preserve">TS/1000·ρ·fRP/M_Xpr</t>
  </si>
  <si>
    <t xml:space="preserve">X_li</t>
  </si>
  <si>
    <t xml:space="preserve">TS/1000·ρ·fRFe/M_Xli</t>
  </si>
  <si>
    <r>
      <rPr>
        <sz val="10"/>
        <rFont val="Arial"/>
        <family val="0"/>
        <charset val="1"/>
      </rPr>
      <t xml:space="preserve">f_CH4 (</t>
    </r>
    <r>
      <rPr>
        <sz val="10"/>
        <rFont val="Noto Sans CJK SC"/>
        <family val="2"/>
      </rPr>
      <t xml:space="preserve">조성 가중 메탄 함량</t>
    </r>
    <r>
      <rPr>
        <sz val="10"/>
        <rFont val="Arial"/>
        <family val="0"/>
        <charset val="1"/>
      </rPr>
      <t xml:space="preserve">)</t>
    </r>
  </si>
  <si>
    <t xml:space="preserve">(X_ch+X_pr+X_li)/(X_ch/MP_CH + X_pr/MP_PR + X_li/MP_LI)</t>
  </si>
  <si>
    <r>
      <rPr>
        <sz val="10"/>
        <rFont val="Arial"/>
        <family val="0"/>
        <charset val="1"/>
      </rPr>
      <t xml:space="preserve">ffOTS SCOD </t>
    </r>
    <r>
      <rPr>
        <sz val="10"/>
        <rFont val="Noto Sans CJK SC"/>
        <family val="2"/>
      </rPr>
      <t xml:space="preserve">기반 참고값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미사용</t>
    </r>
    <r>
      <rPr>
        <sz val="10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</si>
  <si>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(R·SCOD − S_ac − aSi·X_org)/(X_org(1−a_total) − X_fib)  — </t>
    </r>
    <r>
      <rPr>
        <sz val="9"/>
        <rFont val="Noto Sans CJK SC"/>
        <family val="2"/>
      </rPr>
      <t xml:space="preserve">참고용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이 값을 쓰면 겨울</t>
    </r>
    <r>
      <rPr>
        <sz val="9"/>
        <rFont val="Arial"/>
        <family val="0"/>
        <charset val="1"/>
      </rPr>
      <t xml:space="preserve">~</t>
    </r>
    <r>
      <rPr>
        <sz val="9"/>
        <rFont val="Noto Sans CJK SC"/>
        <family val="2"/>
      </rPr>
      <t xml:space="preserve">봄 수율이 </t>
    </r>
    <r>
      <rPr>
        <sz val="9"/>
        <rFont val="Arial"/>
        <family val="0"/>
        <charset val="1"/>
      </rPr>
      <t xml:space="preserve">BMP</t>
    </r>
    <r>
      <rPr>
        <sz val="9"/>
        <rFont val="Noto Sans CJK SC"/>
        <family val="2"/>
      </rPr>
      <t xml:space="preserve">의 절반으로 떨어져 논문 계절 트렌드가 사라짐</t>
    </r>
  </si>
  <si>
    <t xml:space="preserve">SCOD/COD</t>
  </si>
  <si>
    <t xml:space="preserve">SCOD_m / COD_m</t>
  </si>
  <si>
    <r>
      <rPr>
        <sz val="10"/>
        <rFont val="Arial"/>
        <family val="0"/>
        <charset val="1"/>
      </rPr>
      <t xml:space="preserve">KS43_vfa (VFA </t>
    </r>
    <r>
      <rPr>
        <sz val="10"/>
        <rFont val="Noto Sans CJK SC"/>
        <family val="2"/>
      </rPr>
      <t xml:space="preserve">해리 추정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희석 후</t>
    </r>
    <r>
      <rPr>
        <sz val="10"/>
        <rFont val="Arial"/>
        <family val="0"/>
        <charset val="1"/>
      </rPr>
      <t xml:space="preserve">)</t>
    </r>
  </si>
  <si>
    <t xml:space="preserve">max(0, FFS/MW_HAc·1000·[α(pH)−α(4.3)]),  α=Ka/(Ka+10^−pH)</t>
  </si>
  <si>
    <r>
      <rPr>
        <sz val="10"/>
        <rFont val="Arial"/>
        <family val="0"/>
        <charset val="1"/>
      </rPr>
      <t xml:space="preserve">ΔKS43 </t>
    </r>
    <r>
      <rPr>
        <sz val="10"/>
        <rFont val="Noto Sans CJK SC"/>
        <family val="2"/>
      </rPr>
      <t xml:space="preserve">약품분</t>
    </r>
  </si>
  <si>
    <t xml:space="preserve">dose_on·max(0, KS43_tgt − KS43_vfa)</t>
  </si>
  <si>
    <r>
      <rPr>
        <sz val="10"/>
        <rFont val="Noto Sans CJK SC"/>
        <family val="2"/>
      </rPr>
      <t xml:space="preserve">약품 투입량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슬러리 </t>
    </r>
    <r>
      <rPr>
        <sz val="10"/>
        <rFont val="Arial"/>
        <family val="0"/>
        <charset val="1"/>
      </rPr>
      <t xml:space="preserve">1 m³</t>
    </r>
    <r>
      <rPr>
        <sz val="10"/>
        <rFont val="Noto Sans CJK SC"/>
        <family val="2"/>
      </rPr>
      <t xml:space="preserve">당</t>
    </r>
    <r>
      <rPr>
        <sz val="10"/>
        <rFont val="Arial"/>
        <family val="0"/>
        <charset val="1"/>
      </rPr>
      <t xml:space="preserve">)</t>
    </r>
  </si>
  <si>
    <t xml:space="preserve">ΔKS43·EW_chem/1000</t>
  </si>
  <si>
    <r>
      <rPr>
        <sz val="10"/>
        <rFont val="Noto Sans CJK SC"/>
        <family val="2"/>
      </rPr>
      <t xml:space="preserve">약품 투입량 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기당 하루</t>
    </r>
    <r>
      <rPr>
        <sz val="10"/>
        <rFont val="Arial"/>
        <family val="0"/>
        <charset val="1"/>
      </rPr>
      <t xml:space="preserve">)</t>
    </r>
  </si>
  <si>
    <t xml:space="preserve">kg/d</t>
  </si>
  <si>
    <r>
      <rPr>
        <sz val="9"/>
        <rFont val="Noto Sans CJK SC"/>
        <family val="2"/>
      </rPr>
      <t xml:space="preserve">약품</t>
    </r>
    <r>
      <rPr>
        <sz val="9"/>
        <rFont val="Arial"/>
        <family val="0"/>
        <charset val="1"/>
      </rPr>
      <t xml:space="preserve">(kg/m³)·Q</t>
    </r>
  </si>
  <si>
    <r>
      <rPr>
        <sz val="10"/>
        <rFont val="Noto Sans CJK SC"/>
        <family val="2"/>
      </rPr>
      <t xml:space="preserve">검산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모델 </t>
    </r>
    <r>
      <rPr>
        <sz val="10"/>
        <rFont val="Arial"/>
        <family val="0"/>
        <charset val="1"/>
      </rPr>
      <t xml:space="preserve">CH₄ / </t>
    </r>
    <r>
      <rPr>
        <sz val="10"/>
        <rFont val="Noto Sans CJK SC"/>
        <family val="2"/>
      </rPr>
      <t xml:space="preserve">실측 </t>
    </r>
    <r>
      <rPr>
        <sz val="10"/>
        <rFont val="Arial"/>
        <family val="0"/>
        <charset val="1"/>
      </rPr>
      <t xml:space="preserve">CH₄</t>
    </r>
  </si>
  <si>
    <r>
      <rPr>
        <sz val="9"/>
        <rFont val="Arial"/>
        <family val="0"/>
        <charset val="1"/>
      </rPr>
      <t xml:space="preserve">(X_org(1−a)+S_ac)·0.3502·(1−Y_loss) / (R·COD·BMP_COD/1000)  → 1</t>
    </r>
    <r>
      <rPr>
        <sz val="9"/>
        <rFont val="Noto Sans CJK SC"/>
        <family val="2"/>
      </rPr>
      <t xml:space="preserve">이면 </t>
    </r>
    <r>
      <rPr>
        <sz val="9"/>
        <rFont val="Arial"/>
        <family val="0"/>
        <charset val="1"/>
      </rPr>
      <t xml:space="preserve">BMP </t>
    </r>
    <r>
      <rPr>
        <sz val="9"/>
        <rFont val="Noto Sans CJK SC"/>
        <family val="2"/>
      </rPr>
      <t xml:space="preserve">재현</t>
    </r>
  </si>
  <si>
    <r>
      <rPr>
        <sz val="10"/>
        <rFont val="Noto Sans CJK SC"/>
        <family val="2"/>
      </rPr>
      <t xml:space="preserve">검산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모델 총 </t>
    </r>
    <r>
      <rPr>
        <sz val="10"/>
        <rFont val="Arial"/>
        <family val="0"/>
        <charset val="1"/>
      </rPr>
      <t xml:space="preserve">COD / (R·</t>
    </r>
    <r>
      <rPr>
        <sz val="10"/>
        <rFont val="Noto Sans CJK SC"/>
        <family val="2"/>
      </rPr>
      <t xml:space="preserve">실측 </t>
    </r>
    <r>
      <rPr>
        <sz val="10"/>
        <rFont val="Arial"/>
        <family val="0"/>
        <charset val="1"/>
      </rPr>
      <t xml:space="preserve">COD)</t>
    </r>
  </si>
  <si>
    <r>
      <rPr>
        <sz val="9"/>
        <rFont val="Arial"/>
        <family val="0"/>
        <charset val="1"/>
      </rPr>
      <t xml:space="preserve">(X_org </t>
    </r>
    <r>
      <rPr>
        <sz val="9"/>
        <rFont val="Noto Sans CJK SC"/>
        <family val="2"/>
      </rPr>
      <t xml:space="preserve">모델값 </t>
    </r>
    <r>
      <rPr>
        <sz val="9"/>
        <rFont val="Arial"/>
        <family val="0"/>
        <charset val="1"/>
      </rPr>
      <t xml:space="preserve">+ S_ac) / (R·COD_m)  → 1</t>
    </r>
    <r>
      <rPr>
        <sz val="9"/>
        <rFont val="Noto Sans CJK SC"/>
        <family val="2"/>
      </rPr>
      <t xml:space="preserve">이면 </t>
    </r>
    <r>
      <rPr>
        <sz val="9"/>
        <rFont val="Arial"/>
        <family val="0"/>
        <charset val="1"/>
      </rPr>
      <t xml:space="preserve">COD </t>
    </r>
    <r>
      <rPr>
        <sz val="9"/>
        <rFont val="Noto Sans CJK SC"/>
        <family val="2"/>
      </rPr>
      <t xml:space="preserve">폐합</t>
    </r>
  </si>
  <si>
    <r>
      <rPr>
        <sz val="10"/>
        <rFont val="Arial"/>
        <family val="0"/>
        <charset val="1"/>
      </rPr>
      <t xml:space="preserve">S_anion (</t>
    </r>
    <r>
      <rPr>
        <sz val="10"/>
        <rFont val="Noto Sans CJK SC"/>
        <family val="2"/>
      </rPr>
      <t xml:space="preserve">라이브러리 전하수지</t>
    </r>
    <r>
      <rPr>
        <sz val="10"/>
        <rFont val="Arial"/>
        <family val="0"/>
        <charset val="1"/>
      </rPr>
      <t xml:space="preserve">)</t>
    </r>
  </si>
  <si>
    <t xml:space="preserve">kmol/m³</t>
  </si>
  <si>
    <r>
      <rPr>
        <sz val="9"/>
        <rFont val="Arial"/>
        <family val="0"/>
        <charset val="1"/>
      </rPr>
      <t xml:space="preserve">H + (NH4−NH3) − HCO3 − VFA_ion − Kw/H  (S_cation=0 </t>
    </r>
    <r>
      <rPr>
        <sz val="9"/>
        <rFont val="Noto Sans CJK SC"/>
        <family val="2"/>
      </rPr>
      <t xml:space="preserve">고정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음수는 라이브러리가 허용하는 정상 경로</t>
    </r>
    <r>
      <rPr>
        <sz val="9"/>
        <rFont val="Arial"/>
        <family val="0"/>
        <charset val="1"/>
      </rPr>
      <t xml:space="preserve">)</t>
    </r>
  </si>
  <si>
    <t xml:space="preserve">유의사항</t>
  </si>
  <si>
    <r>
      <rPr>
        <sz val="9"/>
        <rFont val="Arial"/>
        <family val="0"/>
        <charset val="1"/>
      </rPr>
      <t xml:space="preserve">1) </t>
    </r>
    <r>
      <rPr>
        <sz val="9"/>
        <rFont val="Noto Sans CJK SC"/>
        <family val="2"/>
      </rPr>
      <t xml:space="preserve">원물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논문</t>
    </r>
    <r>
      <rPr>
        <sz val="9"/>
        <rFont val="Arial"/>
        <family val="0"/>
        <charset val="1"/>
      </rPr>
      <t xml:space="preserve">) </t>
    </r>
    <r>
      <rPr>
        <sz val="9"/>
        <rFont val="Noto Sans CJK SC"/>
        <family val="2"/>
      </rPr>
      <t xml:space="preserve">성상에 물 </t>
    </r>
    <r>
      <rPr>
        <sz val="9"/>
        <rFont val="Arial"/>
        <family val="0"/>
        <charset val="1"/>
      </rPr>
      <t xml:space="preserve">1:9 </t>
    </r>
    <r>
      <rPr>
        <sz val="9"/>
        <rFont val="Noto Sans CJK SC"/>
        <family val="2"/>
      </rPr>
      <t xml:space="preserve">희석</t>
    </r>
    <r>
      <rPr>
        <sz val="9"/>
        <rFont val="Arial"/>
        <family val="0"/>
        <charset val="1"/>
      </rPr>
      <t xml:space="preserve">(w_water=9, R=0.1)</t>
    </r>
    <r>
      <rPr>
        <sz val="9"/>
        <rFont val="Noto Sans CJK SC"/>
        <family val="2"/>
      </rPr>
      <t xml:space="preserve">과 중간저장조 실측 조건</t>
    </r>
    <r>
      <rPr>
        <sz val="9"/>
        <rFont val="Arial"/>
        <family val="0"/>
        <charset val="1"/>
      </rPr>
      <t xml:space="preserve">(Temp 35 ℃, pH 7)</t>
    </r>
    <r>
      <rPr>
        <sz val="9"/>
        <rFont val="Noto Sans CJK SC"/>
        <family val="2"/>
      </rPr>
      <t xml:space="preserve">을 적용한 값입니다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희석비는 가정 시트 </t>
    </r>
    <r>
      <rPr>
        <sz val="9"/>
        <rFont val="Arial"/>
        <family val="0"/>
        <charset val="1"/>
      </rPr>
      <t xml:space="preserve">w_water </t>
    </r>
    <r>
      <rPr>
        <sz val="9"/>
        <rFont val="Noto Sans CJK SC"/>
        <family val="2"/>
      </rPr>
      <t xml:space="preserve">하나로 바꿉니다</t>
    </r>
    <r>
      <rPr>
        <sz val="9"/>
        <rFont val="Arial"/>
        <family val="0"/>
        <charset val="1"/>
      </rPr>
      <t xml:space="preserve">.</t>
    </r>
  </si>
  <si>
    <r>
      <rPr>
        <sz val="9"/>
        <rFont val="Arial"/>
        <family val="0"/>
        <charset val="1"/>
      </rPr>
      <t xml:space="preserve">2) </t>
    </r>
    <r>
      <rPr>
        <sz val="9"/>
        <rFont val="Noto Sans CJK SC"/>
        <family val="2"/>
      </rPr>
      <t xml:space="preserve">유량은 희석 슬러리 기준 </t>
    </r>
    <r>
      <rPr>
        <sz val="9"/>
        <rFont val="Arial"/>
        <family val="0"/>
        <charset val="1"/>
      </rPr>
      <t xml:space="preserve">Q_feed = 200 m³/d </t>
    </r>
    <r>
      <rPr>
        <sz val="9"/>
        <rFont val="Noto Sans CJK SC"/>
        <family val="2"/>
      </rPr>
      <t xml:space="preserve">고정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원물 </t>
    </r>
    <r>
      <rPr>
        <sz val="9"/>
        <rFont val="Arial"/>
        <family val="0"/>
        <charset val="1"/>
      </rPr>
      <t xml:space="preserve">20 t/d + </t>
    </r>
    <r>
      <rPr>
        <sz val="9"/>
        <rFont val="Noto Sans CJK SC"/>
        <family val="2"/>
      </rPr>
      <t xml:space="preserve">물 </t>
    </r>
    <r>
      <rPr>
        <sz val="9"/>
        <rFont val="Arial"/>
        <family val="0"/>
        <charset val="1"/>
      </rPr>
      <t xml:space="preserve">180 t/d), HRT 30 d, OLR 0.34~0.84 kg VS/m³/d. </t>
    </r>
    <r>
      <rPr>
        <sz val="9"/>
        <rFont val="Noto Sans CJK SC"/>
        <family val="2"/>
      </rPr>
      <t xml:space="preserve">조성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농도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은 </t>
    </r>
    <r>
      <rPr>
        <sz val="9"/>
        <rFont val="Arial"/>
        <family val="0"/>
        <charset val="1"/>
      </rPr>
      <t xml:space="preserve">1:9 </t>
    </r>
    <r>
      <rPr>
        <sz val="9"/>
        <rFont val="Noto Sans CJK SC"/>
        <family val="2"/>
      </rPr>
      <t xml:space="preserve">희석값을 세기성질로 그대로 씁니다</t>
    </r>
    <r>
      <rPr>
        <sz val="9"/>
        <rFont val="Arial"/>
        <family val="0"/>
        <charset val="1"/>
      </rPr>
      <t xml:space="preserve">.</t>
    </r>
  </si>
  <si>
    <r>
      <rPr>
        <sz val="9"/>
        <rFont val="Arial"/>
        <family val="0"/>
        <charset val="1"/>
      </rPr>
      <t xml:space="preserve">3) </t>
    </r>
    <r>
      <rPr>
        <sz val="9"/>
        <rFont val="Noto Sans CJK SC"/>
        <family val="2"/>
      </rPr>
      <t xml:space="preserve">희석 후 </t>
    </r>
    <r>
      <rPr>
        <sz val="9"/>
        <rFont val="Arial"/>
        <family val="0"/>
        <charset val="1"/>
      </rPr>
      <t xml:space="preserve">TS</t>
    </r>
    <r>
      <rPr>
        <sz val="9"/>
        <rFont val="Noto Sans CJK SC"/>
        <family val="2"/>
      </rPr>
      <t xml:space="preserve">는 전 월 </t>
    </r>
    <r>
      <rPr>
        <sz val="9"/>
        <rFont val="Arial"/>
        <family val="0"/>
        <charset val="1"/>
      </rPr>
      <t xml:space="preserve">200 </t>
    </r>
    <r>
      <rPr>
        <sz val="9"/>
        <rFont val="Noto Sans CJK SC"/>
        <family val="2"/>
      </rPr>
      <t xml:space="preserve">미만이라 </t>
    </r>
    <r>
      <rPr>
        <sz val="9"/>
        <rFont val="Arial"/>
        <family val="0"/>
        <charset val="1"/>
      </rPr>
      <t xml:space="preserve">PyADM1ODE </t>
    </r>
    <r>
      <rPr>
        <sz val="9"/>
        <rFont val="Noto Sans CJK SC"/>
        <family val="2"/>
      </rPr>
      <t xml:space="preserve">밀도 분기</t>
    </r>
    <r>
      <rPr>
        <sz val="9"/>
        <rFont val="Arial"/>
        <family val="0"/>
        <charset val="1"/>
      </rPr>
      <t xml:space="preserve">(ρ=1000)</t>
    </r>
    <r>
      <rPr>
        <sz val="9"/>
        <rFont val="Noto Sans CJK SC"/>
        <family val="2"/>
      </rPr>
      <t xml:space="preserve">만 타며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모델 총 </t>
    </r>
    <r>
      <rPr>
        <sz val="9"/>
        <rFont val="Arial"/>
        <family val="0"/>
        <charset val="1"/>
      </rPr>
      <t xml:space="preserve">COD = R·</t>
    </r>
    <r>
      <rPr>
        <sz val="9"/>
        <rFont val="Noto Sans CJK SC"/>
        <family val="2"/>
      </rPr>
      <t xml:space="preserve">실측 </t>
    </r>
    <r>
      <rPr>
        <sz val="9"/>
        <rFont val="Arial"/>
        <family val="0"/>
        <charset val="1"/>
      </rPr>
      <t xml:space="preserve">COD </t>
    </r>
    <r>
      <rPr>
        <sz val="9"/>
        <rFont val="Noto Sans CJK SC"/>
        <family val="2"/>
      </rPr>
      <t xml:space="preserve">로 폐합됩니다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검산 행</t>
    </r>
    <r>
      <rPr>
        <sz val="9"/>
        <rFont val="Arial"/>
        <family val="0"/>
        <charset val="1"/>
      </rPr>
      <t xml:space="preserve">).</t>
    </r>
  </si>
  <si>
    <r>
      <rPr>
        <sz val="9"/>
        <rFont val="Arial"/>
        <family val="0"/>
        <charset val="1"/>
      </rPr>
      <t xml:space="preserve">4) aXI+aSi</t>
    </r>
    <r>
      <rPr>
        <sz val="9"/>
        <rFont val="Noto Sans CJK SC"/>
        <family val="2"/>
      </rPr>
      <t xml:space="preserve">는 </t>
    </r>
    <r>
      <rPr>
        <sz val="9"/>
        <rFont val="Arial"/>
        <family val="0"/>
        <charset val="1"/>
      </rPr>
      <t xml:space="preserve">BMP(COD </t>
    </r>
    <r>
      <rPr>
        <sz val="9"/>
        <rFont val="Noto Sans CJK SC"/>
        <family val="2"/>
      </rPr>
      <t xml:space="preserve">기준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와 </t>
    </r>
    <r>
      <rPr>
        <sz val="9"/>
        <rFont val="Arial"/>
        <family val="0"/>
        <charset val="1"/>
      </rPr>
      <t xml:space="preserve">Y_loss(</t>
    </r>
    <r>
      <rPr>
        <sz val="9"/>
        <rFont val="Noto Sans CJK SC"/>
        <family val="2"/>
      </rPr>
      <t xml:space="preserve">가정 </t>
    </r>
    <r>
      <rPr>
        <sz val="9"/>
        <rFont val="Arial"/>
        <family val="0"/>
        <charset val="1"/>
      </rPr>
      <t xml:space="preserve">6%)</t>
    </r>
    <r>
      <rPr>
        <sz val="9"/>
        <rFont val="Noto Sans CJK SC"/>
        <family val="2"/>
      </rPr>
      <t xml:space="preserve">로 역산했고</t>
    </r>
    <r>
      <rPr>
        <sz val="9"/>
        <rFont val="Arial"/>
        <family val="0"/>
        <charset val="1"/>
      </rPr>
      <t xml:space="preserve">, 2:1 </t>
    </r>
    <r>
      <rPr>
        <sz val="9"/>
        <rFont val="Noto Sans CJK SC"/>
        <family val="2"/>
      </rPr>
      <t xml:space="preserve">분할 비율은 </t>
    </r>
    <r>
      <rPr>
        <sz val="9"/>
        <rFont val="Arial"/>
        <family val="0"/>
        <charset val="1"/>
      </rPr>
      <t xml:space="preserve">ADM1/BSM2 </t>
    </r>
    <r>
      <rPr>
        <sz val="9"/>
        <rFont val="Noto Sans CJK SC"/>
        <family val="2"/>
      </rPr>
      <t xml:space="preserve">기본 생성비를 기억에 의존해 준용한 가정입니다</t>
    </r>
    <r>
      <rPr>
        <sz val="9"/>
        <rFont val="Arial"/>
        <family val="0"/>
        <charset val="1"/>
      </rPr>
      <t xml:space="preserve">.</t>
    </r>
  </si>
  <si>
    <r>
      <rPr>
        <sz val="9"/>
        <rFont val="Arial"/>
        <family val="0"/>
        <charset val="1"/>
      </rPr>
      <t xml:space="preserve">5) KS43</t>
    </r>
    <r>
      <rPr>
        <sz val="9"/>
        <rFont val="Noto Sans CJK SC"/>
        <family val="2"/>
      </rPr>
      <t xml:space="preserve">은 </t>
    </r>
    <r>
      <rPr>
        <sz val="9"/>
        <rFont val="Arial"/>
        <family val="0"/>
        <charset val="1"/>
      </rPr>
      <t xml:space="preserve">VFA </t>
    </r>
    <r>
      <rPr>
        <sz val="9"/>
        <rFont val="Noto Sans CJK SC"/>
        <family val="2"/>
      </rPr>
      <t xml:space="preserve">해리분 추정 </t>
    </r>
    <r>
      <rPr>
        <sz val="9"/>
        <rFont val="Arial"/>
        <family val="0"/>
        <charset val="1"/>
      </rPr>
      <t xml:space="preserve">+ </t>
    </r>
    <r>
      <rPr>
        <sz val="9"/>
        <rFont val="Noto Sans CJK SC"/>
        <family val="2"/>
      </rPr>
      <t xml:space="preserve">약품분입니다</t>
    </r>
    <r>
      <rPr>
        <sz val="9"/>
        <rFont val="Arial"/>
        <family val="0"/>
        <charset val="1"/>
      </rPr>
      <t xml:space="preserve">. dose_on=1</t>
    </r>
    <r>
      <rPr>
        <sz val="9"/>
        <rFont val="Noto Sans CJK SC"/>
        <family val="2"/>
      </rPr>
      <t xml:space="preserve">이면 </t>
    </r>
    <r>
      <rPr>
        <sz val="9"/>
        <rFont val="Arial"/>
        <family val="0"/>
        <charset val="1"/>
      </rPr>
      <t xml:space="preserve">KS43_tgt</t>
    </r>
    <r>
      <rPr>
        <sz val="9"/>
        <rFont val="Noto Sans CJK SC"/>
        <family val="2"/>
      </rPr>
      <t xml:space="preserve">까지 </t>
    </r>
    <r>
      <rPr>
        <sz val="9"/>
        <rFont val="Arial"/>
        <family val="0"/>
        <charset val="1"/>
      </rPr>
      <t xml:space="preserve">NaHCO₃(EW 84)</t>
    </r>
    <r>
      <rPr>
        <sz val="9"/>
        <rFont val="Noto Sans CJK SC"/>
        <family val="2"/>
      </rPr>
      <t xml:space="preserve">를 채우고 투입량</t>
    </r>
    <r>
      <rPr>
        <sz val="9"/>
        <rFont val="Arial"/>
        <family val="0"/>
        <charset val="1"/>
      </rPr>
      <t xml:space="preserve">(kg/m³, kg/d)</t>
    </r>
    <r>
      <rPr>
        <sz val="9"/>
        <rFont val="Noto Sans CJK SC"/>
        <family val="2"/>
      </rPr>
      <t xml:space="preserve">이 계산됩니다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실측 알칼리도가 있으면 </t>
    </r>
    <r>
      <rPr>
        <sz val="9"/>
        <rFont val="Arial"/>
        <family val="0"/>
        <charset val="1"/>
      </rPr>
      <t xml:space="preserve">KS43_vfa </t>
    </r>
    <r>
      <rPr>
        <sz val="9"/>
        <rFont val="Noto Sans CJK SC"/>
        <family val="2"/>
      </rPr>
      <t xml:space="preserve">행을 그 값으로 바꾸세요</t>
    </r>
    <r>
      <rPr>
        <sz val="9"/>
        <rFont val="Arial"/>
        <family val="0"/>
        <charset val="1"/>
      </rPr>
      <t xml:space="preserve">.</t>
    </r>
  </si>
  <si>
    <r>
      <rPr>
        <sz val="9"/>
        <rFont val="Arial"/>
        <family val="0"/>
        <charset val="1"/>
      </rPr>
      <t xml:space="preserve">6) 10</t>
    </r>
    <r>
      <rPr>
        <sz val="9"/>
        <rFont val="Noto Sans CJK SC"/>
        <family val="2"/>
      </rPr>
      <t xml:space="preserve">월 </t>
    </r>
    <r>
      <rPr>
        <sz val="9"/>
        <rFont val="Arial"/>
        <family val="0"/>
        <charset val="1"/>
      </rPr>
      <t xml:space="preserve">BMP</t>
    </r>
    <r>
      <rPr>
        <sz val="9"/>
        <rFont val="Noto Sans CJK SC"/>
        <family val="2"/>
      </rPr>
      <t xml:space="preserve">는 </t>
    </r>
    <r>
      <rPr>
        <sz val="9"/>
        <rFont val="Arial"/>
        <family val="0"/>
        <charset val="1"/>
      </rPr>
      <t xml:space="preserve">9·11</t>
    </r>
    <r>
      <rPr>
        <sz val="9"/>
        <rFont val="Noto Sans CJK SC"/>
        <family val="2"/>
      </rPr>
      <t xml:space="preserve">월 평균 보간</t>
    </r>
    <r>
      <rPr>
        <sz val="9"/>
        <rFont val="Arial"/>
        <family val="0"/>
        <charset val="1"/>
      </rPr>
      <t xml:space="preserve">, fRF·fOTSrf</t>
    </r>
    <r>
      <rPr>
        <sz val="9"/>
        <rFont val="Noto Sans CJK SC"/>
        <family val="2"/>
      </rPr>
      <t xml:space="preserve">는 가정입니다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노트북의 </t>
    </r>
    <r>
      <rPr>
        <sz val="9"/>
        <rFont val="Arial"/>
        <family val="0"/>
        <charset val="1"/>
      </rPr>
      <t xml:space="preserve">Q_FEED</t>
    </r>
    <r>
      <rPr>
        <sz val="9"/>
        <rFont val="Noto Sans CJK SC"/>
        <family val="2"/>
      </rPr>
      <t xml:space="preserve">는 </t>
    </r>
    <r>
      <rPr>
        <sz val="9"/>
        <rFont val="Arial"/>
        <family val="0"/>
        <charset val="1"/>
      </rPr>
      <t xml:space="preserve">Q </t>
    </r>
    <r>
      <rPr>
        <sz val="9"/>
        <rFont val="Noto Sans CJK SC"/>
        <family val="2"/>
      </rPr>
      <t xml:space="preserve">행</t>
    </r>
    <r>
      <rPr>
        <sz val="9"/>
        <rFont val="Arial"/>
        <family val="0"/>
        <charset val="1"/>
      </rPr>
      <t xml:space="preserve">(200 m³/d)</t>
    </r>
    <r>
      <rPr>
        <sz val="9"/>
        <rFont val="Noto Sans CJK SC"/>
        <family val="2"/>
      </rPr>
      <t xml:space="preserve">으로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시운전 구간을 앞에 두고 돌리세요</t>
    </r>
    <r>
      <rPr>
        <sz val="9"/>
        <rFont val="Arial"/>
        <family val="0"/>
        <charset val="1"/>
      </rPr>
      <t xml:space="preserve">.</t>
    </r>
  </si>
  <si>
    <r>
      <rPr>
        <b val="true"/>
        <sz val="12"/>
        <rFont val="Noto Sans CJK SC"/>
        <family val="2"/>
      </rPr>
      <t xml:space="preserve">가정</t>
    </r>
    <r>
      <rPr>
        <b val="true"/>
        <sz val="12"/>
        <rFont val="Arial"/>
        <family val="0"/>
        <charset val="1"/>
      </rPr>
      <t xml:space="preserve">·</t>
    </r>
    <r>
      <rPr>
        <b val="true"/>
        <sz val="12"/>
        <rFont val="Noto Sans CJK SC"/>
        <family val="2"/>
      </rPr>
      <t xml:space="preserve">상수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파란 글씨 </t>
    </r>
    <r>
      <rPr>
        <b val="true"/>
        <sz val="12"/>
        <rFont val="Arial"/>
        <family val="0"/>
        <charset val="1"/>
      </rPr>
      <t xml:space="preserve">= </t>
    </r>
    <r>
      <rPr>
        <b val="true"/>
        <sz val="12"/>
        <rFont val="Noto Sans CJK SC"/>
        <family val="2"/>
      </rPr>
      <t xml:space="preserve">수정 가능한 입력</t>
    </r>
    <r>
      <rPr>
        <b val="true"/>
        <sz val="12"/>
        <rFont val="Arial"/>
        <family val="0"/>
        <charset val="1"/>
      </rPr>
      <t xml:space="preserve">)</t>
    </r>
  </si>
  <si>
    <t xml:space="preserve">기호</t>
  </si>
  <si>
    <t xml:space="preserve">설명</t>
  </si>
  <si>
    <t xml:space="preserve">값</t>
  </si>
  <si>
    <r>
      <rPr>
        <b val="true"/>
        <sz val="10"/>
        <rFont val="Noto Sans CJK SC"/>
        <family val="2"/>
      </rPr>
      <t xml:space="preserve">근거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비고</t>
    </r>
  </si>
  <si>
    <t xml:space="preserve">Y_loss</t>
  </si>
  <si>
    <r>
      <rPr>
        <sz val="10"/>
        <rFont val="Noto Sans CJK SC"/>
        <family val="2"/>
      </rPr>
      <t xml:space="preserve">미생물 합성 손실 비율</t>
    </r>
    <r>
      <rPr>
        <sz val="10"/>
        <rFont val="Arial"/>
        <family val="0"/>
        <charset val="1"/>
      </rPr>
      <t xml:space="preserve">(BMP→</t>
    </r>
    <r>
      <rPr>
        <sz val="10"/>
        <rFont val="Noto Sans CJK SC"/>
        <family val="2"/>
      </rPr>
      <t xml:space="preserve">분해가능 </t>
    </r>
    <r>
      <rPr>
        <sz val="10"/>
        <rFont val="Arial"/>
        <family val="0"/>
        <charset val="1"/>
      </rPr>
      <t xml:space="preserve">COD </t>
    </r>
    <r>
      <rPr>
        <sz val="10"/>
        <rFont val="Noto Sans CJK SC"/>
        <family val="2"/>
      </rPr>
      <t xml:space="preserve">환산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</si>
  <si>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가정 — 실제 </t>
    </r>
    <r>
      <rPr>
        <sz val="10"/>
        <rFont val="Arial"/>
        <family val="0"/>
        <charset val="1"/>
      </rPr>
      <t xml:space="preserve">ADM1 </t>
    </r>
    <r>
      <rPr>
        <sz val="10"/>
        <rFont val="Noto Sans CJK SC"/>
        <family val="2"/>
      </rPr>
      <t xml:space="preserve">모사에서 </t>
    </r>
    <r>
      <rPr>
        <sz val="10"/>
        <rFont val="Arial"/>
        <family val="0"/>
        <charset val="1"/>
      </rPr>
      <t xml:space="preserve">CH4 </t>
    </r>
    <r>
      <rPr>
        <sz val="10"/>
        <rFont val="Noto Sans CJK SC"/>
        <family val="2"/>
      </rPr>
      <t xml:space="preserve">수율 보정 필요</t>
    </r>
  </si>
  <si>
    <t xml:space="preserve">CH4th</t>
  </si>
  <si>
    <r>
      <rPr>
        <sz val="10"/>
        <rFont val="Arial"/>
        <family val="0"/>
        <charset val="1"/>
      </rPr>
      <t xml:space="preserve">COD</t>
    </r>
    <r>
      <rPr>
        <sz val="10"/>
        <rFont val="Noto Sans CJK SC"/>
        <family val="2"/>
      </rPr>
      <t xml:space="preserve">당 이론 </t>
    </r>
    <r>
      <rPr>
        <sz val="10"/>
        <rFont val="Arial"/>
        <family val="0"/>
        <charset val="1"/>
      </rPr>
      <t xml:space="preserve">CH4 [Nm³/kg COD]</t>
    </r>
  </si>
  <si>
    <t xml:space="preserve">PyADM1ODE: V_m/(CH4_cod_2_mol/1000)=0.022413/0.064</t>
  </si>
  <si>
    <r>
      <rPr>
        <sz val="10"/>
        <rFont val="Noto Sans CJK SC"/>
        <family val="2"/>
      </rPr>
      <t xml:space="preserve">조섬유 분율 </t>
    </r>
    <r>
      <rPr>
        <sz val="10"/>
        <rFont val="Arial"/>
        <family val="0"/>
        <charset val="1"/>
      </rPr>
      <t xml:space="preserve">[-TS]</t>
    </r>
  </si>
  <si>
    <r>
      <rPr>
        <sz val="10"/>
        <rFont val="Noto Sans CJK SC"/>
        <family val="2"/>
      </rPr>
      <t xml:space="preserve">가정 — 논문에 없음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민감도 낮음</t>
    </r>
    <r>
      <rPr>
        <sz val="10"/>
        <rFont val="Arial"/>
        <family val="0"/>
        <charset val="1"/>
      </rPr>
      <t xml:space="preserve">(±1% COD)</t>
    </r>
  </si>
  <si>
    <r>
      <rPr>
        <sz val="10"/>
        <rFont val="Noto Sans CJK SC"/>
        <family val="2"/>
      </rPr>
      <t xml:space="preserve">조섬유 중 분해가능 비율 </t>
    </r>
    <r>
      <rPr>
        <sz val="10"/>
        <rFont val="Arial"/>
        <family val="0"/>
        <charset val="1"/>
      </rPr>
      <t xml:space="preserve">[-]</t>
    </r>
  </si>
  <si>
    <t xml:space="preserve">가정 — 논문에 없음</t>
  </si>
  <si>
    <t xml:space="preserve">M_Xch</t>
  </si>
  <si>
    <r>
      <rPr>
        <sz val="10"/>
        <rFont val="Noto Sans CJK SC"/>
        <family val="2"/>
      </rPr>
      <t xml:space="preserve">탄수화물 질량</t>
    </r>
    <r>
      <rPr>
        <sz val="10"/>
        <rFont val="Arial"/>
        <family val="0"/>
        <charset val="1"/>
      </rPr>
      <t xml:space="preserve">/COD [kg/kg]</t>
    </r>
  </si>
  <si>
    <r>
      <rPr>
        <sz val="10"/>
        <rFont val="Arial"/>
        <family val="0"/>
        <charset val="1"/>
      </rPr>
      <t xml:space="preserve">PyADM1ODE SubstrateParams </t>
    </r>
    <r>
      <rPr>
        <sz val="10"/>
        <rFont val="Noto Sans CJK SC"/>
        <family val="2"/>
      </rPr>
      <t xml:space="preserve">기본값</t>
    </r>
  </si>
  <si>
    <t xml:space="preserve">M_Xpr</t>
  </si>
  <si>
    <r>
      <rPr>
        <sz val="10"/>
        <rFont val="Noto Sans CJK SC"/>
        <family val="2"/>
      </rPr>
      <t xml:space="preserve">단백질 질량</t>
    </r>
    <r>
      <rPr>
        <sz val="10"/>
        <rFont val="Arial"/>
        <family val="0"/>
        <charset val="1"/>
      </rPr>
      <t xml:space="preserve">/COD [kg/kg]</t>
    </r>
  </si>
  <si>
    <r>
      <rPr>
        <sz val="10"/>
        <rFont val="Arial"/>
        <family val="0"/>
        <charset val="1"/>
      </rPr>
      <t xml:space="preserve">PyADM1ODE </t>
    </r>
    <r>
      <rPr>
        <sz val="10"/>
        <rFont val="Noto Sans CJK SC"/>
        <family val="2"/>
      </rPr>
      <t xml:space="preserve">기본값</t>
    </r>
  </si>
  <si>
    <t xml:space="preserve">M_Xli</t>
  </si>
  <si>
    <r>
      <rPr>
        <sz val="10"/>
        <rFont val="Noto Sans CJK SC"/>
        <family val="2"/>
      </rPr>
      <t xml:space="preserve">지방 질량</t>
    </r>
    <r>
      <rPr>
        <sz val="10"/>
        <rFont val="Arial"/>
        <family val="0"/>
        <charset val="1"/>
      </rPr>
      <t xml:space="preserve">/COD [kg/kg]</t>
    </r>
  </si>
  <si>
    <t xml:space="preserve">M_Sac</t>
  </si>
  <si>
    <r>
      <rPr>
        <sz val="10"/>
        <rFont val="Noto Sans CJK SC"/>
        <family val="2"/>
      </rPr>
      <t xml:space="preserve">아세트산 질량</t>
    </r>
    <r>
      <rPr>
        <sz val="10"/>
        <rFont val="Arial"/>
        <family val="0"/>
        <charset val="1"/>
      </rPr>
      <t xml:space="preserve">/COD [kg/kg]</t>
    </r>
  </si>
  <si>
    <t xml:space="preserve">roh_CH</t>
  </si>
  <si>
    <r>
      <rPr>
        <sz val="10"/>
        <rFont val="Noto Sans CJK SC"/>
        <family val="2"/>
      </rPr>
      <t xml:space="preserve">탄수화물 밀도 </t>
    </r>
    <r>
      <rPr>
        <sz val="10"/>
        <rFont val="Arial"/>
        <family val="0"/>
        <charset val="1"/>
      </rPr>
      <t xml:space="preserve">[kg/m³]</t>
    </r>
  </si>
  <si>
    <t xml:space="preserve">roh_PR</t>
  </si>
  <si>
    <r>
      <rPr>
        <sz val="10"/>
        <rFont val="Noto Sans CJK SC"/>
        <family val="2"/>
      </rPr>
      <t xml:space="preserve">단백질 밀도 </t>
    </r>
    <r>
      <rPr>
        <sz val="10"/>
        <rFont val="Arial"/>
        <family val="0"/>
        <charset val="1"/>
      </rPr>
      <t xml:space="preserve">[kg/m³]</t>
    </r>
  </si>
  <si>
    <t xml:space="preserve">roh_LI</t>
  </si>
  <si>
    <r>
      <rPr>
        <sz val="10"/>
        <rFont val="Noto Sans CJK SC"/>
        <family val="2"/>
      </rPr>
      <t xml:space="preserve">지방 밀도 </t>
    </r>
    <r>
      <rPr>
        <sz val="10"/>
        <rFont val="Arial"/>
        <family val="0"/>
        <charset val="1"/>
      </rPr>
      <t xml:space="preserve">[kg/m³]</t>
    </r>
  </si>
  <si>
    <t xml:space="preserve">roh_MI</t>
  </si>
  <si>
    <r>
      <rPr>
        <sz val="10"/>
        <rFont val="Noto Sans CJK SC"/>
        <family val="2"/>
      </rPr>
      <t xml:space="preserve">회분 밀도 </t>
    </r>
    <r>
      <rPr>
        <sz val="10"/>
        <rFont val="Arial"/>
        <family val="0"/>
        <charset val="1"/>
      </rPr>
      <t xml:space="preserve">[kg/m³]</t>
    </r>
  </si>
  <si>
    <t xml:space="preserve">roh_AC</t>
  </si>
  <si>
    <r>
      <rPr>
        <sz val="10"/>
        <rFont val="Noto Sans CJK SC"/>
        <family val="2"/>
      </rPr>
      <t xml:space="preserve">아세트산 밀도 </t>
    </r>
    <r>
      <rPr>
        <sz val="10"/>
        <rFont val="Arial"/>
        <family val="0"/>
        <charset val="1"/>
      </rPr>
      <t xml:space="preserve">[kg/m³]</t>
    </r>
  </si>
  <si>
    <t xml:space="preserve">roh_H2O</t>
  </si>
  <si>
    <r>
      <rPr>
        <sz val="10"/>
        <rFont val="Noto Sans CJK SC"/>
        <family val="2"/>
      </rPr>
      <t xml:space="preserve">물 밀도 </t>
    </r>
    <r>
      <rPr>
        <sz val="10"/>
        <rFont val="Arial"/>
        <family val="0"/>
        <charset val="1"/>
      </rPr>
      <t xml:space="preserve">[kg/m³]</t>
    </r>
  </si>
  <si>
    <t xml:space="preserve">Kain</t>
  </si>
  <si>
    <r>
      <rPr>
        <sz val="10"/>
        <rFont val="Noto Sans CJK SC"/>
        <family val="2"/>
      </rPr>
      <t xml:space="preserve">암모늄 해리상수 </t>
    </r>
    <r>
      <rPr>
        <sz val="10"/>
        <rFont val="Arial"/>
        <family val="0"/>
        <charset val="1"/>
      </rPr>
      <t xml:space="preserve">Kain_35 [kmol/m³]</t>
    </r>
  </si>
  <si>
    <t xml:space="preserve">Kw</t>
  </si>
  <si>
    <r>
      <rPr>
        <sz val="10"/>
        <rFont val="Noto Sans CJK SC"/>
        <family val="2"/>
      </rPr>
      <t xml:space="preserve">물의 이온곱 </t>
    </r>
    <r>
      <rPr>
        <sz val="10"/>
        <rFont val="Arial"/>
        <family val="0"/>
        <charset val="1"/>
      </rPr>
      <t xml:space="preserve">Kw_35</t>
    </r>
  </si>
  <si>
    <t xml:space="preserve">MP_CH</t>
  </si>
  <si>
    <r>
      <rPr>
        <sz val="10"/>
        <rFont val="Noto Sans CJK SC"/>
        <family val="2"/>
      </rPr>
      <t xml:space="preserve">탄수화물 메탄 함량 </t>
    </r>
    <r>
      <rPr>
        <sz val="10"/>
        <rFont val="Arial"/>
        <family val="0"/>
        <charset val="1"/>
      </rPr>
      <t xml:space="preserve">[-]</t>
    </r>
  </si>
  <si>
    <r>
      <rPr>
        <sz val="10"/>
        <rFont val="Arial"/>
        <family val="0"/>
        <charset val="1"/>
      </rPr>
      <t xml:space="preserve">PyADM1ODE </t>
    </r>
    <r>
      <rPr>
        <sz val="10"/>
        <rFont val="Noto Sans CJK SC"/>
        <family val="2"/>
      </rPr>
      <t xml:space="preserve">기본값 </t>
    </r>
    <r>
      <rPr>
        <sz val="10"/>
        <rFont val="Arial"/>
        <family val="0"/>
        <charset val="1"/>
      </rPr>
      <t xml:space="preserve">MP_CH (Buswell </t>
    </r>
    <r>
      <rPr>
        <sz val="10"/>
        <rFont val="Noto Sans CJK SC"/>
        <family val="2"/>
      </rPr>
      <t xml:space="preserve">계열로 해석</t>
    </r>
    <r>
      <rPr>
        <sz val="10"/>
        <rFont val="Arial"/>
        <family val="0"/>
        <charset val="1"/>
      </rPr>
      <t xml:space="preserve">)</t>
    </r>
  </si>
  <si>
    <t xml:space="preserve">MP_PR</t>
  </si>
  <si>
    <r>
      <rPr>
        <sz val="10"/>
        <rFont val="Noto Sans CJK SC"/>
        <family val="2"/>
      </rPr>
      <t xml:space="preserve">단백질 메탄 함량 </t>
    </r>
    <r>
      <rPr>
        <sz val="10"/>
        <rFont val="Arial"/>
        <family val="0"/>
        <charset val="1"/>
      </rPr>
      <t xml:space="preserve">[-]</t>
    </r>
  </si>
  <si>
    <r>
      <rPr>
        <sz val="10"/>
        <rFont val="Arial"/>
        <family val="0"/>
        <charset val="1"/>
      </rPr>
      <t xml:space="preserve">PyADM1ODE </t>
    </r>
    <r>
      <rPr>
        <sz val="10"/>
        <rFont val="Noto Sans CJK SC"/>
        <family val="2"/>
      </rPr>
      <t xml:space="preserve">기본값 </t>
    </r>
    <r>
      <rPr>
        <sz val="10"/>
        <rFont val="Arial"/>
        <family val="0"/>
        <charset val="1"/>
      </rPr>
      <t xml:space="preserve">MP_PR</t>
    </r>
  </si>
  <si>
    <t xml:space="preserve">MP_LI</t>
  </si>
  <si>
    <r>
      <rPr>
        <sz val="10"/>
        <rFont val="Noto Sans CJK SC"/>
        <family val="2"/>
      </rPr>
      <t xml:space="preserve">지방 메탄 함량 </t>
    </r>
    <r>
      <rPr>
        <sz val="10"/>
        <rFont val="Arial"/>
        <family val="0"/>
        <charset val="1"/>
      </rPr>
      <t xml:space="preserve">[-]</t>
    </r>
  </si>
  <si>
    <r>
      <rPr>
        <sz val="10"/>
        <rFont val="Arial"/>
        <family val="0"/>
        <charset val="1"/>
      </rPr>
      <t xml:space="preserve">PyADM1ODE </t>
    </r>
    <r>
      <rPr>
        <sz val="10"/>
        <rFont val="Noto Sans CJK SC"/>
        <family val="2"/>
      </rPr>
      <t xml:space="preserve">기본값 </t>
    </r>
    <r>
      <rPr>
        <sz val="10"/>
        <rFont val="Arial"/>
        <family val="0"/>
        <charset val="1"/>
      </rPr>
      <t xml:space="preserve">MP_LI</t>
    </r>
  </si>
  <si>
    <t xml:space="preserve">Kaac</t>
  </si>
  <si>
    <r>
      <rPr>
        <sz val="10"/>
        <rFont val="Noto Sans CJK SC"/>
        <family val="2"/>
      </rPr>
      <t xml:space="preserve">아세트산 산해리상수 </t>
    </r>
    <r>
      <rPr>
        <sz val="10"/>
        <rFont val="Arial"/>
        <family val="0"/>
        <charset val="1"/>
      </rPr>
      <t xml:space="preserve">[kmol/m³]</t>
    </r>
  </si>
  <si>
    <r>
      <rPr>
        <sz val="10"/>
        <rFont val="Arial"/>
        <family val="0"/>
        <charset val="1"/>
      </rPr>
      <t xml:space="preserve">PyADM1ODE </t>
    </r>
    <r>
      <rPr>
        <sz val="10"/>
        <rFont val="Noto Sans CJK SC"/>
        <family val="2"/>
      </rPr>
      <t xml:space="preserve">기본값 </t>
    </r>
    <r>
      <rPr>
        <sz val="10"/>
        <rFont val="Arial"/>
        <family val="0"/>
        <charset val="1"/>
      </rPr>
      <t xml:space="preserve">(pKa 4.76)</t>
    </r>
  </si>
  <si>
    <t xml:space="preserve">MW_HAc</t>
  </si>
  <si>
    <r>
      <rPr>
        <sz val="10"/>
        <rFont val="Noto Sans CJK SC"/>
        <family val="2"/>
      </rPr>
      <t xml:space="preserve">아세트산 분자량 </t>
    </r>
    <r>
      <rPr>
        <sz val="10"/>
        <rFont val="Arial"/>
        <family val="0"/>
        <charset val="1"/>
      </rPr>
      <t xml:space="preserve">[g/mol]</t>
    </r>
  </si>
  <si>
    <t xml:space="preserve">상수</t>
  </si>
  <si>
    <t xml:space="preserve">pH_ref</t>
  </si>
  <si>
    <r>
      <rPr>
        <sz val="10"/>
        <rFont val="Arial"/>
        <family val="0"/>
        <charset val="1"/>
      </rPr>
      <t xml:space="preserve">KS43 </t>
    </r>
    <r>
      <rPr>
        <sz val="10"/>
        <rFont val="Noto Sans CJK SC"/>
        <family val="2"/>
      </rPr>
      <t xml:space="preserve">기준 </t>
    </r>
    <r>
      <rPr>
        <sz val="10"/>
        <rFont val="Arial"/>
        <family val="0"/>
        <charset val="1"/>
      </rPr>
      <t xml:space="preserve">pH</t>
    </r>
  </si>
  <si>
    <t xml:space="preserve">정의</t>
  </si>
  <si>
    <t xml:space="preserve">share_XI</t>
  </si>
  <si>
    <r>
      <rPr>
        <sz val="10"/>
        <rFont val="Arial"/>
        <family val="0"/>
        <charset val="1"/>
      </rPr>
      <t xml:space="preserve">a_total </t>
    </r>
    <r>
      <rPr>
        <sz val="10"/>
        <rFont val="Noto Sans CJK SC"/>
        <family val="2"/>
      </rPr>
      <t xml:space="preserve">중 </t>
    </r>
    <r>
      <rPr>
        <sz val="10"/>
        <rFont val="Arial"/>
        <family val="0"/>
        <charset val="1"/>
      </rPr>
      <t xml:space="preserve">aXI </t>
    </r>
    <r>
      <rPr>
        <sz val="10"/>
        <rFont val="Noto Sans CJK SC"/>
        <family val="2"/>
      </rPr>
      <t xml:space="preserve">몫 </t>
    </r>
    <r>
      <rPr>
        <sz val="10"/>
        <rFont val="Arial"/>
        <family val="0"/>
        <charset val="1"/>
      </rPr>
      <t xml:space="preserve">[-]</t>
    </r>
  </si>
  <si>
    <r>
      <rPr>
        <sz val="10"/>
        <rFont val="Arial"/>
        <family val="0"/>
        <charset val="1"/>
      </rPr>
      <t xml:space="preserve">ADM1/BSM2 </t>
    </r>
    <r>
      <rPr>
        <sz val="10"/>
        <rFont val="Noto Sans CJK SC"/>
        <family val="2"/>
      </rPr>
      <t xml:space="preserve">기본 분해 생성비 </t>
    </r>
    <r>
      <rPr>
        <sz val="10"/>
        <rFont val="Arial"/>
        <family val="0"/>
        <charset val="1"/>
      </rPr>
      <t xml:space="preserve">S_I 0.1 : X_I 0.2 </t>
    </r>
    <r>
      <rPr>
        <sz val="10"/>
        <rFont val="Noto Sans CJK SC"/>
        <family val="2"/>
      </rPr>
      <t xml:space="preserve">준용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기억 기준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문헌 확인 필요</t>
    </r>
    <r>
      <rPr>
        <sz val="10"/>
        <rFont val="Arial"/>
        <family val="0"/>
        <charset val="1"/>
      </rPr>
      <t xml:space="preserve">)</t>
    </r>
  </si>
  <si>
    <t xml:space="preserve">Q_feed</t>
  </si>
  <si>
    <r>
      <rPr>
        <sz val="10"/>
        <rFont val="Noto Sans CJK SC"/>
        <family val="2"/>
      </rPr>
      <t xml:space="preserve">소화조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기 유입 슬러리 유량 </t>
    </r>
    <r>
      <rPr>
        <sz val="10"/>
        <rFont val="Arial"/>
        <family val="0"/>
        <charset val="1"/>
      </rPr>
      <t xml:space="preserve">[m³/d]</t>
    </r>
  </si>
  <si>
    <r>
      <rPr>
        <sz val="10"/>
        <rFont val="Noto Sans CJK SC"/>
        <family val="2"/>
      </rPr>
      <t xml:space="preserve">사용자 설정 — 희석 후 슬러리 기준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조성은 세기성질로 유지</t>
    </r>
    <r>
      <rPr>
        <sz val="10"/>
        <rFont val="Arial"/>
        <family val="0"/>
        <charset val="1"/>
      </rPr>
      <t xml:space="preserve">)</t>
    </r>
  </si>
  <si>
    <t xml:space="preserve">ffOTS_FW</t>
  </si>
  <si>
    <r>
      <rPr>
        <sz val="10"/>
        <rFont val="Noto Sans CJK SC"/>
        <family val="2"/>
      </rPr>
      <t xml:space="preserve">음식물 빠른 분해풀 비율 </t>
    </r>
    <r>
      <rPr>
        <sz val="10"/>
        <rFont val="Arial"/>
        <family val="0"/>
        <charset val="1"/>
      </rPr>
      <t xml:space="preserve">ffOTS [-]</t>
    </r>
  </si>
  <si>
    <r>
      <rPr>
        <sz val="10"/>
        <rFont val="Noto Sans CJK SC"/>
        <family val="2"/>
      </rPr>
      <t xml:space="preserve">논문 </t>
    </r>
    <r>
      <rPr>
        <sz val="10"/>
        <rFont val="Arial"/>
        <family val="0"/>
        <charset val="1"/>
      </rPr>
      <t xml:space="preserve">Table 2 Rm/BMP_COD = 0.20~0.44 d⁻¹ ≈ </t>
    </r>
    <r>
      <rPr>
        <sz val="10"/>
        <rFont val="Noto Sans CJK SC"/>
        <family val="2"/>
      </rPr>
      <t xml:space="preserve">빠른 풀</t>
    </r>
    <r>
      <rPr>
        <sz val="10"/>
        <rFont val="Arial"/>
        <family val="0"/>
        <charset val="1"/>
      </rPr>
      <t xml:space="preserve">(0.4). SCOD </t>
    </r>
    <r>
      <rPr>
        <sz val="10"/>
        <rFont val="Noto Sans CJK SC"/>
        <family val="2"/>
      </rPr>
      <t xml:space="preserve">기반 분할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참고 행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쓰면 계절 트렌드 역전</t>
    </r>
  </si>
  <si>
    <t xml:space="preserve">w_water</t>
  </si>
  <si>
    <r>
      <rPr>
        <sz val="10"/>
        <rFont val="Noto Sans CJK SC"/>
        <family val="2"/>
      </rPr>
      <t xml:space="preserve">희석수 비율 </t>
    </r>
    <r>
      <rPr>
        <sz val="10"/>
        <rFont val="Arial"/>
        <family val="0"/>
        <charset val="1"/>
      </rPr>
      <t xml:space="preserve">[t </t>
    </r>
    <r>
      <rPr>
        <sz val="10"/>
        <rFont val="Noto Sans CJK SC"/>
        <family val="2"/>
      </rPr>
      <t xml:space="preserve">물 </t>
    </r>
    <r>
      <rPr>
        <sz val="10"/>
        <rFont val="Arial"/>
        <family val="0"/>
        <charset val="1"/>
      </rPr>
      <t xml:space="preserve">/ t </t>
    </r>
    <r>
      <rPr>
        <sz val="10"/>
        <rFont val="Noto Sans CJK SC"/>
        <family val="2"/>
      </rPr>
      <t xml:space="preserve">원물</t>
    </r>
    <r>
      <rPr>
        <sz val="10"/>
        <rFont val="Arial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</si>
  <si>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사용자 설정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원물 </t>
    </r>
    <r>
      <rPr>
        <sz val="10"/>
        <rFont val="Arial"/>
        <family val="0"/>
        <charset val="1"/>
      </rPr>
      <t xml:space="preserve">1 : </t>
    </r>
    <r>
      <rPr>
        <sz val="10"/>
        <rFont val="Noto Sans CJK SC"/>
        <family val="2"/>
      </rPr>
      <t xml:space="preserve">물 </t>
    </r>
    <r>
      <rPr>
        <sz val="10"/>
        <rFont val="Arial"/>
        <family val="0"/>
        <charset val="1"/>
      </rPr>
      <t xml:space="preserve">9 (10</t>
    </r>
    <r>
      <rPr>
        <sz val="10"/>
        <rFont val="Noto Sans CJK SC"/>
        <family val="2"/>
      </rPr>
      <t xml:space="preserve">배 희석</t>
    </r>
    <r>
      <rPr>
        <sz val="10"/>
        <rFont val="Arial"/>
        <family val="0"/>
        <charset val="1"/>
      </rPr>
      <t xml:space="preserve">)</t>
    </r>
  </si>
  <si>
    <t xml:space="preserve">N_dig</t>
  </si>
  <si>
    <t xml:space="preserve">소화조 기수</t>
  </si>
  <si>
    <t xml:space="preserve">사용자 설정</t>
  </si>
  <si>
    <t xml:space="preserve">V_liq</t>
  </si>
  <si>
    <r>
      <rPr>
        <sz val="10"/>
        <rFont val="Noto Sans CJK SC"/>
        <family val="2"/>
      </rPr>
      <t xml:space="preserve">소화조 유효용적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기</t>
    </r>
    <r>
      <rPr>
        <sz val="10"/>
        <rFont val="Arial"/>
        <family val="0"/>
        <charset val="1"/>
      </rPr>
      <t xml:space="preserve">) [m³]</t>
    </r>
  </si>
  <si>
    <t xml:space="preserve">dose_on</t>
  </si>
  <si>
    <r>
      <rPr>
        <sz val="10"/>
        <rFont val="Noto Sans CJK SC"/>
        <family val="2"/>
      </rPr>
      <t xml:space="preserve">약품 투입 스위치 </t>
    </r>
    <r>
      <rPr>
        <sz val="10"/>
        <rFont val="Arial"/>
        <family val="0"/>
        <charset val="1"/>
      </rPr>
      <t xml:space="preserve">(1=</t>
    </r>
    <r>
      <rPr>
        <sz val="10"/>
        <rFont val="Noto Sans CJK SC"/>
        <family val="2"/>
      </rPr>
      <t xml:space="preserve">투입</t>
    </r>
    <r>
      <rPr>
        <sz val="10"/>
        <rFont val="Arial"/>
        <family val="0"/>
        <charset val="1"/>
      </rPr>
      <t xml:space="preserve">, 0=</t>
    </r>
    <r>
      <rPr>
        <sz val="10"/>
        <rFont val="Noto Sans CJK SC"/>
        <family val="2"/>
      </rPr>
      <t xml:space="preserve">없음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</si>
  <si>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기본 </t>
    </r>
    <r>
      <rPr>
        <sz val="10"/>
        <rFont val="Arial"/>
        <family val="0"/>
        <charset val="1"/>
      </rPr>
      <t xml:space="preserve">0 — </t>
    </r>
    <r>
      <rPr>
        <sz val="10"/>
        <rFont val="Noto Sans CJK SC"/>
        <family val="2"/>
      </rPr>
      <t xml:space="preserve">비교 시나리오에서 </t>
    </r>
    <r>
      <rPr>
        <sz val="10"/>
        <rFont val="Arial"/>
        <family val="0"/>
        <charset val="1"/>
      </rPr>
      <t xml:space="preserve">1</t>
    </r>
  </si>
  <si>
    <t xml:space="preserve">KS43_tgt</t>
  </si>
  <si>
    <r>
      <rPr>
        <sz val="10"/>
        <rFont val="Noto Sans CJK SC"/>
        <family val="2"/>
      </rPr>
      <t xml:space="preserve">약품 투입 시 목표 </t>
    </r>
    <r>
      <rPr>
        <sz val="10"/>
        <rFont val="Arial"/>
        <family val="0"/>
        <charset val="1"/>
      </rPr>
      <t xml:space="preserve">KS43 [mol/m³]</t>
    </r>
  </si>
  <si>
    <r>
      <rPr>
        <sz val="10"/>
        <rFont val="Noto Sans CJK SC"/>
        <family val="2"/>
      </rPr>
      <t xml:space="preserve">가정 — 희석 후 약 </t>
    </r>
    <r>
      <rPr>
        <sz val="10"/>
        <rFont val="Arial"/>
        <family val="0"/>
        <charset val="1"/>
      </rPr>
      <t xml:space="preserve">6 g CaCO₃/L</t>
    </r>
  </si>
  <si>
    <t xml:space="preserve">EW_chem</t>
  </si>
  <si>
    <r>
      <rPr>
        <sz val="10"/>
        <rFont val="Noto Sans CJK SC"/>
        <family val="2"/>
      </rPr>
      <t xml:space="preserve">약품 당량 </t>
    </r>
    <r>
      <rPr>
        <sz val="10"/>
        <rFont val="Arial"/>
        <family val="0"/>
        <charset val="1"/>
      </rPr>
      <t xml:space="preserve">[g/eq]</t>
    </r>
  </si>
  <si>
    <t xml:space="preserve">NaHCO₃ 84 (NaOH 40, Na₂CO₃ 53, Ca(OH)₂ 37)</t>
  </si>
  <si>
    <t xml:space="preserve">F_S_PROTEIN</t>
  </si>
  <si>
    <r>
      <rPr>
        <sz val="10"/>
        <rFont val="Noto Sans CJK SC"/>
        <family val="2"/>
      </rPr>
      <t xml:space="preserve">단백질 중 황 비율 </t>
    </r>
    <r>
      <rPr>
        <sz val="10"/>
        <rFont val="Arial"/>
        <family val="0"/>
        <charset val="1"/>
      </rPr>
      <t xml:space="preserve">[kg S/kg protein] (H₂S </t>
    </r>
    <r>
      <rPr>
        <sz val="10"/>
        <rFont val="Noto Sans CJK SC"/>
        <family val="2"/>
      </rPr>
      <t xml:space="preserve">추정용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노트북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</si>
  <si>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가정 — 식품 단백질 </t>
    </r>
    <r>
      <rPr>
        <sz val="10"/>
        <rFont val="Arial"/>
        <family val="0"/>
        <charset val="1"/>
      </rPr>
      <t xml:space="preserve">0.8~1.2 % (Cys·Met). ADM1</t>
    </r>
    <r>
      <rPr>
        <sz val="10"/>
        <rFont val="Noto Sans CJK SC"/>
        <family val="2"/>
      </rPr>
      <t xml:space="preserve">에 황 순환 없음 → 노트북에서 평형 추정</t>
    </r>
  </si>
  <si>
    <t xml:space="preserve">SO4_IN</t>
  </si>
  <si>
    <r>
      <rPr>
        <sz val="10"/>
        <rFont val="Noto Sans CJK SC"/>
        <family val="2"/>
      </rPr>
      <t xml:space="preserve">유입 슬러리 황산염 </t>
    </r>
    <r>
      <rPr>
        <sz val="10"/>
        <rFont val="Arial"/>
        <family val="0"/>
        <charset val="1"/>
      </rPr>
      <t xml:space="preserve">[mg S/L] (H₂S </t>
    </r>
    <r>
      <rPr>
        <sz val="10"/>
        <rFont val="Noto Sans CJK SC"/>
        <family val="2"/>
      </rPr>
      <t xml:space="preserve">추정용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노트북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</si>
  <si>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가정 </t>
    </r>
    <r>
      <rPr>
        <sz val="10"/>
        <rFont val="Arial"/>
        <family val="0"/>
        <charset val="1"/>
      </rPr>
      <t xml:space="preserve">0 — </t>
    </r>
    <r>
      <rPr>
        <sz val="10"/>
        <rFont val="Noto Sans CJK SC"/>
        <family val="2"/>
      </rPr>
      <t xml:space="preserve">실측 있으면 입력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전량 황화물로 환원 가정</t>
    </r>
  </si>
  <si>
    <t xml:space="preserve">FE_DOSE</t>
  </si>
  <si>
    <r>
      <rPr>
        <sz val="10"/>
        <rFont val="Noto Sans CJK SC"/>
        <family val="2"/>
      </rPr>
      <t xml:space="preserve">철염 투입 </t>
    </r>
    <r>
      <rPr>
        <sz val="10"/>
        <rFont val="Arial"/>
        <family val="0"/>
        <charset val="1"/>
      </rPr>
      <t xml:space="preserve">[mol Fe/m³ </t>
    </r>
    <r>
      <rPr>
        <sz val="10"/>
        <rFont val="Noto Sans CJK SC"/>
        <family val="2"/>
      </rPr>
      <t xml:space="preserve">슬러리</t>
    </r>
    <r>
      <rPr>
        <sz val="10"/>
        <rFont val="Arial"/>
        <family val="0"/>
        <charset val="1"/>
      </rPr>
      <t xml:space="preserve">] (H₂S </t>
    </r>
    <r>
      <rPr>
        <sz val="10"/>
        <rFont val="Noto Sans CJK SC"/>
        <family val="2"/>
      </rPr>
      <t xml:space="preserve">추정용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노트북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</si>
  <si>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가정 </t>
    </r>
    <r>
      <rPr>
        <sz val="10"/>
        <rFont val="Arial"/>
        <family val="0"/>
        <charset val="1"/>
      </rPr>
      <t xml:space="preserve">0 — FeS 1:1 </t>
    </r>
    <r>
      <rPr>
        <sz val="10"/>
        <rFont val="Noto Sans CJK SC"/>
        <family val="2"/>
      </rPr>
      <t xml:space="preserve">침전으로 황화물 제거</t>
    </r>
  </si>
  <si>
    <t xml:space="preserve">H_NH3_298</t>
  </si>
  <si>
    <r>
      <rPr>
        <sz val="10"/>
        <rFont val="Arial"/>
        <family val="0"/>
        <charset val="1"/>
      </rPr>
      <t xml:space="preserve">NH₃ Henry </t>
    </r>
    <r>
      <rPr>
        <sz val="10"/>
        <rFont val="Noto Sans CJK SC"/>
        <family val="2"/>
      </rPr>
      <t xml:space="preserve">상수 </t>
    </r>
    <r>
      <rPr>
        <sz val="10"/>
        <rFont val="Arial"/>
        <family val="0"/>
        <charset val="1"/>
      </rPr>
      <t xml:space="preserve">H_cp(298 K) [mol/(m³·Pa)]</t>
    </r>
  </si>
  <si>
    <t xml:space="preserve">Sander 2015, −dlnH/d(1/T)=4200 K → 35 ℃ 0.374</t>
  </si>
  <si>
    <t xml:space="preserve">H_H2S_298</t>
  </si>
  <si>
    <r>
      <rPr>
        <sz val="10"/>
        <rFont val="Arial"/>
        <family val="0"/>
        <charset val="1"/>
      </rPr>
      <t xml:space="preserve">H₂S Henry </t>
    </r>
    <r>
      <rPr>
        <sz val="10"/>
        <rFont val="Noto Sans CJK SC"/>
        <family val="2"/>
      </rPr>
      <t xml:space="preserve">상수 </t>
    </r>
    <r>
      <rPr>
        <sz val="10"/>
        <rFont val="Arial"/>
        <family val="0"/>
        <charset val="1"/>
      </rPr>
      <t xml:space="preserve">H_cp(298 K) [mol/(m³·Pa)]</t>
    </r>
  </si>
  <si>
    <t xml:space="preserve">Sander 2015, −dlnH/d(1/T)=2100 K → 35 ℃ 7.96e-4; pKa1 7.05(25 ℃)→6.92(35 ℃)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</si>
</sst>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0.00"/>
    <numFmt numFmtId="167" formatCode="0.000"/>
    <numFmt numFmtId="168" formatCode="0"/>
    <numFmt numFmtId="169" formatCode="0.0000"/>
    <numFmt numFmtId="170" formatCode="0.000000"/>
    <numFmt numFmtId="171" formatCode="0.0000E+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i val="true"/>
      <sz val="10"/>
      <name val="Noto Sans CJK SC"/>
      <family val="2"/>
    </font>
    <font>
      <i val="true"/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Noto Sans CJK SC"/>
      <family val="2"/>
    </font>
    <font>
      <sz val="9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5" min="2" style="0" width="9"/>
    <col collapsed="false" customWidth="true" hidden="false" outlineLevel="0" max="6" min="6" style="0" width="8"/>
    <col collapsed="false" customWidth="true" hidden="false" outlineLevel="0" max="8" min="7" style="0" width="10"/>
    <col collapsed="false" customWidth="true" hidden="false" outlineLevel="0" max="11" min="9" style="0" width="9"/>
    <col collapsed="false" customWidth="true" hidden="false" outlineLevel="0" max="13" min="12" style="0" width="15"/>
    <col collapsed="false" customWidth="true" hidden="false" outlineLevel="0" max="14" min="14" style="0" width="17"/>
    <col collapsed="false" customWidth="true" hidden="false" outlineLevel="0" max="15" min="15" style="0" width="38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3" t="s">
        <v>8</v>
      </c>
      <c r="H3" s="3" t="s">
        <v>9</v>
      </c>
      <c r="I3" s="3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3" t="s">
        <v>16</v>
      </c>
    </row>
    <row r="4" customFormat="false" ht="15" hidden="false" customHeight="false" outlineLevel="0" collapsed="false">
      <c r="A4" s="5"/>
      <c r="B4" s="5" t="s">
        <v>17</v>
      </c>
      <c r="C4" s="5" t="s">
        <v>17</v>
      </c>
      <c r="D4" s="5" t="s">
        <v>17</v>
      </c>
      <c r="E4" s="5" t="s">
        <v>17</v>
      </c>
      <c r="F4" s="5" t="s">
        <v>18</v>
      </c>
      <c r="G4" s="5" t="s">
        <v>19</v>
      </c>
      <c r="H4" s="5" t="s">
        <v>19</v>
      </c>
      <c r="I4" s="5" t="s">
        <v>19</v>
      </c>
      <c r="J4" s="5" t="s">
        <v>17</v>
      </c>
      <c r="K4" s="5" t="s">
        <v>17</v>
      </c>
      <c r="L4" s="5" t="s">
        <v>20</v>
      </c>
      <c r="M4" s="5" t="s">
        <v>21</v>
      </c>
      <c r="N4" s="5" t="s">
        <v>22</v>
      </c>
      <c r="O4" s="5"/>
    </row>
    <row r="5" customFormat="false" ht="15" hidden="false" customHeight="false" outlineLevel="0" collapsed="false">
      <c r="A5" s="6" t="s">
        <v>23</v>
      </c>
      <c r="B5" s="7" t="n">
        <v>204.2</v>
      </c>
      <c r="C5" s="7" t="n">
        <v>184</v>
      </c>
      <c r="D5" s="8" t="n">
        <v>6.11</v>
      </c>
      <c r="E5" s="9" t="n">
        <v>0.464</v>
      </c>
      <c r="F5" s="8" t="n">
        <v>5.28</v>
      </c>
      <c r="G5" s="7" t="n">
        <v>26.89</v>
      </c>
      <c r="H5" s="7" t="n">
        <v>35.23</v>
      </c>
      <c r="I5" s="7" t="n">
        <v>10.84</v>
      </c>
      <c r="J5" s="7" t="n">
        <v>314.5</v>
      </c>
      <c r="K5" s="7" t="n">
        <v>89.3</v>
      </c>
      <c r="L5" s="8" t="n">
        <v>266.43</v>
      </c>
      <c r="M5" s="8" t="n">
        <v>475.77</v>
      </c>
      <c r="N5" s="8" t="n">
        <v>58.27</v>
      </c>
      <c r="O5" s="10" t="s">
        <v>24</v>
      </c>
    </row>
    <row r="6" customFormat="false" ht="15" hidden="false" customHeight="false" outlineLevel="0" collapsed="false">
      <c r="A6" s="6" t="s">
        <v>25</v>
      </c>
      <c r="B6" s="7" t="n">
        <v>213.6</v>
      </c>
      <c r="C6" s="7" t="n">
        <v>190.7</v>
      </c>
      <c r="D6" s="8" t="n">
        <v>3.38</v>
      </c>
      <c r="E6" s="9" t="n">
        <v>0.668</v>
      </c>
      <c r="F6" s="8" t="n">
        <v>5.46</v>
      </c>
      <c r="G6" s="7" t="n">
        <v>15.51</v>
      </c>
      <c r="H6" s="7" t="n">
        <v>40.92</v>
      </c>
      <c r="I6" s="7" t="n">
        <v>19.17</v>
      </c>
      <c r="J6" s="7" t="n">
        <v>380.4</v>
      </c>
      <c r="K6" s="7" t="n">
        <v>94.8</v>
      </c>
      <c r="L6" s="8" t="n">
        <v>277.59</v>
      </c>
      <c r="M6" s="8" t="n">
        <v>550.02</v>
      </c>
      <c r="N6" s="8" t="n">
        <v>93.52</v>
      </c>
      <c r="O6" s="10" t="s">
        <v>26</v>
      </c>
    </row>
    <row r="7" customFormat="false" ht="15" hidden="false" customHeight="false" outlineLevel="0" collapsed="false">
      <c r="A7" s="6" t="s">
        <v>27</v>
      </c>
      <c r="B7" s="7" t="n">
        <v>220.7</v>
      </c>
      <c r="C7" s="7" t="n">
        <v>203</v>
      </c>
      <c r="D7" s="8" t="n">
        <v>3.38</v>
      </c>
      <c r="E7" s="9" t="n">
        <v>0.473</v>
      </c>
      <c r="F7" s="8" t="n">
        <v>5</v>
      </c>
      <c r="G7" s="7" t="n">
        <v>40.51</v>
      </c>
      <c r="H7" s="7" t="n">
        <v>27.91</v>
      </c>
      <c r="I7" s="7" t="n">
        <v>14.5</v>
      </c>
      <c r="J7" s="7" t="n">
        <v>265.1</v>
      </c>
      <c r="K7" s="7" t="n">
        <v>94.8</v>
      </c>
      <c r="L7" s="8" t="n">
        <v>263.59</v>
      </c>
      <c r="M7" s="8" t="n">
        <v>504.48</v>
      </c>
      <c r="N7" s="8" t="n">
        <v>94.28</v>
      </c>
      <c r="O7" s="10"/>
    </row>
    <row r="8" customFormat="false" ht="15" hidden="false" customHeight="false" outlineLevel="0" collapsed="false">
      <c r="A8" s="6" t="s">
        <v>28</v>
      </c>
      <c r="B8" s="7" t="n">
        <v>181.3</v>
      </c>
      <c r="C8" s="7" t="n">
        <v>152.3</v>
      </c>
      <c r="D8" s="8" t="n">
        <v>1.86</v>
      </c>
      <c r="E8" s="9" t="n">
        <v>0.8</v>
      </c>
      <c r="F8" s="8" t="n">
        <v>4.94</v>
      </c>
      <c r="G8" s="7" t="n">
        <v>22.02</v>
      </c>
      <c r="H8" s="7" t="n">
        <v>61.04</v>
      </c>
      <c r="I8" s="7" t="n">
        <v>13.28</v>
      </c>
      <c r="J8" s="7" t="n">
        <v>318.2</v>
      </c>
      <c r="K8" s="7" t="n">
        <v>101.2</v>
      </c>
      <c r="L8" s="8" t="n">
        <v>273.99</v>
      </c>
      <c r="M8" s="8" t="n">
        <v>570.54</v>
      </c>
      <c r="N8" s="8" t="n">
        <v>90.12</v>
      </c>
      <c r="O8" s="10" t="s">
        <v>29</v>
      </c>
    </row>
    <row r="9" customFormat="false" ht="15" hidden="false" customHeight="false" outlineLevel="0" collapsed="false">
      <c r="A9" s="6" t="s">
        <v>30</v>
      </c>
      <c r="B9" s="7" t="n">
        <v>176.7</v>
      </c>
      <c r="C9" s="7" t="n">
        <v>152.9</v>
      </c>
      <c r="D9" s="8" t="n">
        <v>2.29</v>
      </c>
      <c r="E9" s="9" t="n">
        <v>0.658</v>
      </c>
      <c r="F9" s="8" t="n">
        <v>4.67</v>
      </c>
      <c r="G9" s="7" t="n">
        <v>30.15</v>
      </c>
      <c r="H9" s="7" t="n">
        <v>51.49</v>
      </c>
      <c r="I9" s="7" t="n">
        <v>18.97</v>
      </c>
      <c r="J9" s="7" t="n">
        <v>315.4</v>
      </c>
      <c r="K9" s="7" t="n">
        <v>95.7</v>
      </c>
      <c r="L9" s="8" t="n">
        <v>254.47</v>
      </c>
      <c r="M9" s="8" t="n">
        <v>526.62</v>
      </c>
      <c r="N9" s="8" t="n">
        <v>99.35</v>
      </c>
      <c r="O9" s="10" t="s">
        <v>31</v>
      </c>
    </row>
    <row r="10" customFormat="false" ht="15" hidden="false" customHeight="false" outlineLevel="0" collapsed="false">
      <c r="A10" s="6" t="s">
        <v>32</v>
      </c>
      <c r="B10" s="7" t="n">
        <v>182.2</v>
      </c>
      <c r="C10" s="7" t="n">
        <v>156.6</v>
      </c>
      <c r="D10" s="8" t="n">
        <v>3.3</v>
      </c>
      <c r="E10" s="9" t="n">
        <v>0.692</v>
      </c>
      <c r="F10" s="8" t="n">
        <v>4.45</v>
      </c>
      <c r="G10" s="7" t="n">
        <v>57.59</v>
      </c>
      <c r="H10" s="7" t="n">
        <v>22.02</v>
      </c>
      <c r="I10" s="7" t="n">
        <v>12.67</v>
      </c>
      <c r="J10" s="7" t="n">
        <v>242.2</v>
      </c>
      <c r="K10" s="7" t="n">
        <v>191.8</v>
      </c>
      <c r="L10" s="8" t="n">
        <v>229.86</v>
      </c>
      <c r="M10" s="8" t="n">
        <v>351.34</v>
      </c>
      <c r="N10" s="8" t="n">
        <v>70.6</v>
      </c>
      <c r="O10" s="10" t="s">
        <v>33</v>
      </c>
    </row>
    <row r="11" customFormat="false" ht="15" hidden="false" customHeight="false" outlineLevel="0" collapsed="false">
      <c r="A11" s="6" t="s">
        <v>34</v>
      </c>
      <c r="B11" s="7" t="n">
        <v>264</v>
      </c>
      <c r="C11" s="7" t="n">
        <v>250.6</v>
      </c>
      <c r="D11" s="8" t="n">
        <v>2.33</v>
      </c>
      <c r="E11" s="9" t="n">
        <v>0.46</v>
      </c>
      <c r="F11" s="8" t="n">
        <v>4.25</v>
      </c>
      <c r="G11" s="7" t="n">
        <v>57.59</v>
      </c>
      <c r="H11" s="7" t="n">
        <v>19.17</v>
      </c>
      <c r="I11" s="7" t="n">
        <v>21.61</v>
      </c>
      <c r="J11" s="7" t="n">
        <v>317.2</v>
      </c>
      <c r="K11" s="7" t="n">
        <v>197.3</v>
      </c>
      <c r="L11" s="8" t="n">
        <v>259.89</v>
      </c>
      <c r="M11" s="8" t="n">
        <v>328.25</v>
      </c>
      <c r="N11" s="8" t="n">
        <v>73.85</v>
      </c>
      <c r="O11" s="10" t="s">
        <v>35</v>
      </c>
    </row>
    <row r="12" customFormat="false" ht="15" hidden="false" customHeight="false" outlineLevel="0" collapsed="false">
      <c r="A12" s="6" t="s">
        <v>36</v>
      </c>
      <c r="B12" s="7" t="n">
        <v>190.7</v>
      </c>
      <c r="C12" s="7" t="n">
        <v>162.7</v>
      </c>
      <c r="D12" s="8" t="n">
        <v>4.91</v>
      </c>
      <c r="E12" s="9" t="n">
        <v>0.682</v>
      </c>
      <c r="F12" s="8" t="n">
        <v>4.2</v>
      </c>
      <c r="G12" s="7" t="n">
        <v>28.11</v>
      </c>
      <c r="H12" s="7" t="n">
        <v>36</v>
      </c>
      <c r="I12" s="7" t="n">
        <v>12.06</v>
      </c>
      <c r="J12" s="7" t="n">
        <v>218.4</v>
      </c>
      <c r="K12" s="7" t="n">
        <v>179.9</v>
      </c>
      <c r="L12" s="8" t="n">
        <v>262.16</v>
      </c>
      <c r="M12" s="8" t="n">
        <v>349.74</v>
      </c>
      <c r="N12" s="8" t="n">
        <v>62.58</v>
      </c>
      <c r="O12" s="11" t="s">
        <v>37</v>
      </c>
    </row>
    <row r="13" customFormat="false" ht="15" hidden="false" customHeight="false" outlineLevel="0" collapsed="false">
      <c r="A13" s="6" t="s">
        <v>38</v>
      </c>
      <c r="B13" s="7" t="n">
        <v>125.4</v>
      </c>
      <c r="C13" s="7" t="n">
        <v>118.1</v>
      </c>
      <c r="D13" s="8" t="n">
        <v>1.88</v>
      </c>
      <c r="E13" s="9" t="n">
        <v>0.332</v>
      </c>
      <c r="F13" s="8" t="n">
        <v>4.65</v>
      </c>
      <c r="G13" s="7" t="n">
        <v>51.89</v>
      </c>
      <c r="H13" s="7" t="n">
        <v>33.4</v>
      </c>
      <c r="I13" s="7" t="n">
        <v>14.7</v>
      </c>
      <c r="J13" s="7" t="n">
        <v>146</v>
      </c>
      <c r="K13" s="7" t="n">
        <v>109.4</v>
      </c>
      <c r="L13" s="8" t="n">
        <v>258.06</v>
      </c>
      <c r="M13" s="8" t="n">
        <v>313.88</v>
      </c>
      <c r="N13" s="8" t="n">
        <v>64.94</v>
      </c>
      <c r="O13" s="10"/>
    </row>
    <row r="14" customFormat="false" ht="15" hidden="false" customHeight="false" outlineLevel="0" collapsed="false">
      <c r="A14" s="6" t="s">
        <v>39</v>
      </c>
      <c r="B14" s="7" t="n">
        <v>166.3</v>
      </c>
      <c r="C14" s="7" t="n">
        <v>151.4</v>
      </c>
      <c r="D14" s="8" t="n">
        <v>3.3</v>
      </c>
      <c r="E14" s="9" t="n">
        <v>0.534</v>
      </c>
      <c r="F14" s="8" t="n">
        <v>4.94</v>
      </c>
      <c r="G14" s="7" t="n">
        <v>55.35</v>
      </c>
      <c r="H14" s="7" t="n">
        <v>23.03</v>
      </c>
      <c r="I14" s="7" t="n">
        <v>13.28</v>
      </c>
      <c r="J14" s="7" t="n">
        <v>216.5</v>
      </c>
      <c r="K14" s="7" t="n">
        <v>168</v>
      </c>
      <c r="L14" s="12" t="n">
        <f aca="false">AVERAGE(L13,L15)</f>
        <v>261.815</v>
      </c>
      <c r="M14" s="12" t="n">
        <f aca="false">AVERAGE(M13,M15)</f>
        <v>364.36</v>
      </c>
      <c r="N14" s="12" t="n">
        <f aca="false">AVERAGE(N13,N15)</f>
        <v>91.48</v>
      </c>
      <c r="O14" s="11" t="s">
        <v>40</v>
      </c>
    </row>
    <row r="15" customFormat="false" ht="15" hidden="false" customHeight="false" outlineLevel="0" collapsed="false">
      <c r="A15" s="6" t="s">
        <v>41</v>
      </c>
      <c r="B15" s="7" t="n">
        <v>208.4</v>
      </c>
      <c r="C15" s="7" t="n">
        <v>185.2</v>
      </c>
      <c r="D15" s="8" t="n">
        <v>3.87</v>
      </c>
      <c r="E15" s="9" t="n">
        <v>0.499</v>
      </c>
      <c r="F15" s="8" t="n">
        <v>4.64</v>
      </c>
      <c r="G15" s="7" t="n">
        <v>47.63</v>
      </c>
      <c r="H15" s="7" t="n">
        <v>25.47</v>
      </c>
      <c r="I15" s="7" t="n">
        <v>10.23</v>
      </c>
      <c r="J15" s="7" t="n">
        <v>311.8</v>
      </c>
      <c r="K15" s="7" t="n">
        <v>92</v>
      </c>
      <c r="L15" s="8" t="n">
        <v>265.57</v>
      </c>
      <c r="M15" s="8" t="n">
        <v>414.84</v>
      </c>
      <c r="N15" s="8" t="n">
        <v>118.02</v>
      </c>
      <c r="O15" s="10" t="s">
        <v>42</v>
      </c>
    </row>
    <row r="16" customFormat="false" ht="15" hidden="false" customHeight="false" outlineLevel="0" collapsed="false">
      <c r="A16" s="6" t="s">
        <v>43</v>
      </c>
      <c r="B16" s="7" t="n">
        <v>213.3</v>
      </c>
      <c r="C16" s="7" t="n">
        <v>196.2</v>
      </c>
      <c r="D16" s="8" t="n">
        <v>5.9</v>
      </c>
      <c r="E16" s="9" t="n">
        <v>0.324</v>
      </c>
      <c r="F16" s="8" t="n">
        <v>5.09</v>
      </c>
      <c r="G16" s="7" t="n">
        <v>35.63</v>
      </c>
      <c r="H16" s="7" t="n">
        <v>36.45</v>
      </c>
      <c r="I16" s="7" t="n">
        <v>14.5</v>
      </c>
      <c r="J16" s="7" t="n">
        <v>307.2</v>
      </c>
      <c r="K16" s="7" t="n">
        <v>127.7</v>
      </c>
      <c r="L16" s="8" t="n">
        <v>248.04</v>
      </c>
      <c r="M16" s="8" t="n">
        <v>379.8</v>
      </c>
      <c r="N16" s="8" t="n">
        <v>50.54</v>
      </c>
      <c r="O16" s="10"/>
    </row>
    <row r="18" customFormat="false" ht="15" hidden="false" customHeight="false" outlineLevel="0" collapsed="false">
      <c r="A18" s="13" t="s">
        <v>44</v>
      </c>
    </row>
    <row r="19" customFormat="false" ht="15" hidden="false" customHeight="false" outlineLevel="0" collapsed="false">
      <c r="A19" s="13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14" min="3" style="0" width="8.5"/>
    <col collapsed="false" customWidth="true" hidden="false" outlineLevel="0" max="15" min="15" style="0" width="82"/>
  </cols>
  <sheetData>
    <row r="1" customFormat="false" ht="19.4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15" hidden="false" customHeight="false" outlineLevel="0" collapsed="false">
      <c r="A4" s="3" t="s">
        <v>48</v>
      </c>
      <c r="B4" s="3" t="s">
        <v>49</v>
      </c>
      <c r="C4" s="4" t="s">
        <v>23</v>
      </c>
      <c r="D4" s="4" t="s">
        <v>25</v>
      </c>
      <c r="E4" s="4" t="s">
        <v>27</v>
      </c>
      <c r="F4" s="4" t="s">
        <v>28</v>
      </c>
      <c r="G4" s="4" t="s">
        <v>30</v>
      </c>
      <c r="H4" s="4" t="s">
        <v>32</v>
      </c>
      <c r="I4" s="4" t="s">
        <v>34</v>
      </c>
      <c r="J4" s="4" t="s">
        <v>36</v>
      </c>
      <c r="K4" s="4" t="s">
        <v>38</v>
      </c>
      <c r="L4" s="4" t="s">
        <v>39</v>
      </c>
      <c r="M4" s="4" t="s">
        <v>41</v>
      </c>
      <c r="N4" s="4" t="s">
        <v>43</v>
      </c>
      <c r="O4" s="3" t="s">
        <v>50</v>
      </c>
    </row>
    <row r="5" customFormat="false" ht="25.5" hidden="false" customHeight="true" outlineLevel="0" collapsed="false">
      <c r="A5" s="6" t="s">
        <v>3</v>
      </c>
      <c r="B5" s="14" t="s">
        <v>51</v>
      </c>
      <c r="C5" s="15" t="n">
        <f aca="false">IF(C38&lt;200,C38,IF(C39&gt;=200,C39,IF(ABS((0.2/((C28)*0.2+C29)*C26)-C37)&lt;=ABS((0.19999*1000*C26)-C37),200,199.99)))</f>
        <v>25.6369771695848</v>
      </c>
      <c r="D5" s="15" t="n">
        <f aca="false">IF(D38&lt;200,D38,IF(D39&gt;=200,D39,IF(ABS((0.2/((D28)*0.2+D29)*D26)-D37)&lt;=ABS((0.19999*1000*D26)-D37),200,199.99)))</f>
        <v>28.1944584745593</v>
      </c>
      <c r="E5" s="15" t="n">
        <f aca="false">IF(E38&lt;200,E38,IF(E39&gt;=200,E39,IF(ABS((0.2/((E28)*0.2+E29)*E26)-E37)&lt;=ABS((0.19999*1000*E26)-E37),200,199.99)))</f>
        <v>20.5539210384945</v>
      </c>
      <c r="F5" s="15" t="n">
        <f aca="false">IF(F38&lt;200,F38,IF(F39&gt;=200,F39,IF(ABS((0.2/((F28)*0.2+F29)*F26)-F37)&lt;=ABS((0.19999*1000*F26)-F37),200,199.99)))</f>
        <v>26.2309337014465</v>
      </c>
      <c r="G5" s="15" t="n">
        <f aca="false">IF(G38&lt;200,G38,IF(G39&gt;=200,G39,IF(ABS((0.2/((G28)*0.2+G29)*G26)-G37)&lt;=ABS((0.19999*1000*G26)-G37),200,199.99)))</f>
        <v>23.8434923641569</v>
      </c>
      <c r="H5" s="15" t="n">
        <f aca="false">IF(H38&lt;200,H38,IF(H39&gt;=200,H39,IF(ABS((0.2/((H28)*0.2+H29)*H26)-H37)&lt;=ABS((0.19999*1000*H26)-H37),200,199.99)))</f>
        <v>20.7849999788898</v>
      </c>
      <c r="I5" s="15" t="n">
        <f aca="false">IF(I38&lt;200,I38,IF(I39&gt;=200,I39,IF(ABS((0.2/((I28)*0.2+I29)*I26)-I37)&lt;=ABS((0.19999*1000*I26)-I37),200,199.99)))</f>
        <v>22.2136723270311</v>
      </c>
      <c r="J5" s="15" t="n">
        <f aca="false">IF(J38&lt;200,J38,IF(J39&gt;=200,J39,IF(ABS((0.2/((J28)*0.2+J29)*J26)-J37)&lt;=ABS((0.19999*1000*J26)-J37),200,199.99)))</f>
        <v>18.4182648475458</v>
      </c>
      <c r="K5" s="15" t="n">
        <f aca="false">IF(K38&lt;200,K38,IF(K39&gt;=200,K39,IF(ABS((0.2/((K28)*0.2+K29)*K26)-K37)&lt;=ABS((0.19999*1000*K26)-K37),200,199.99)))</f>
        <v>10.9256682365006</v>
      </c>
      <c r="L5" s="15" t="n">
        <f aca="false">IF(L38&lt;200,L38,IF(L39&gt;=200,L39,IF(ABS((0.2/((L28)*0.2+L29)*L26)-L37)&lt;=ABS((0.19999*1000*L26)-L37),200,199.99)))</f>
        <v>17.3296999081553</v>
      </c>
      <c r="M5" s="15" t="n">
        <f aca="false">IF(M38&lt;200,M38,IF(M39&gt;=200,M39,IF(ABS((0.2/((M28)*0.2+M29)*M26)-M37)&lt;=ABS((0.19999*1000*M26)-M37),200,199.99)))</f>
        <v>26.6325513983402</v>
      </c>
      <c r="N5" s="15" t="n">
        <f aca="false">IF(N38&lt;200,N38,IF(N39&gt;=200,N39,IF(ABS((0.2/((N28)*0.2+N29)*N26)-N37)&lt;=ABS((0.19999*1000*N26)-N37),200,199.99)))</f>
        <v>23.3255126819447</v>
      </c>
      <c r="O5" s="16" t="s">
        <v>52</v>
      </c>
    </row>
    <row r="6" customFormat="false" ht="25.5" hidden="false" customHeight="true" outlineLevel="0" collapsed="false">
      <c r="A6" s="6" t="s">
        <v>53</v>
      </c>
      <c r="B6" s="14" t="s">
        <v>54</v>
      </c>
      <c r="C6" s="17" t="n">
        <f aca="false">표1_논문데이터!$E$5*C31</f>
        <v>0.0464</v>
      </c>
      <c r="D6" s="17" t="n">
        <f aca="false">표1_논문데이터!$E$6*D31</f>
        <v>0.0668</v>
      </c>
      <c r="E6" s="17" t="n">
        <f aca="false">표1_논문데이터!$E$7*E31</f>
        <v>0.0473</v>
      </c>
      <c r="F6" s="17" t="n">
        <f aca="false">표1_논문데이터!$E$8*F31</f>
        <v>0.08</v>
      </c>
      <c r="G6" s="17" t="n">
        <f aca="false">표1_논문데이터!$E$9*G31</f>
        <v>0.0658</v>
      </c>
      <c r="H6" s="17" t="n">
        <f aca="false">표1_논문데이터!$E$10*H31</f>
        <v>0.0692</v>
      </c>
      <c r="I6" s="17" t="n">
        <f aca="false">표1_논문데이터!$E$11*I31</f>
        <v>0.046</v>
      </c>
      <c r="J6" s="17" t="n">
        <f aca="false">표1_논문데이터!$E$12*J31</f>
        <v>0.0682</v>
      </c>
      <c r="K6" s="17" t="n">
        <f aca="false">표1_논문데이터!$E$13*K31</f>
        <v>0.0332</v>
      </c>
      <c r="L6" s="17" t="n">
        <f aca="false">표1_논문데이터!$E$14*L31</f>
        <v>0.0534</v>
      </c>
      <c r="M6" s="17" t="n">
        <f aca="false">표1_논문데이터!$E$15*M31</f>
        <v>0.0499</v>
      </c>
      <c r="N6" s="17" t="n">
        <f aca="false">표1_논문데이터!$E$16*N31</f>
        <v>0.0324</v>
      </c>
      <c r="O6" s="18" t="s">
        <v>55</v>
      </c>
    </row>
    <row r="7" customFormat="false" ht="25.5" hidden="false" customHeight="true" outlineLevel="0" collapsed="false">
      <c r="A7" s="6" t="s">
        <v>56</v>
      </c>
      <c r="B7" s="14" t="s">
        <v>57</v>
      </c>
      <c r="C7" s="19" t="n">
        <f aca="false">C8/C50</f>
        <v>796.45496126691</v>
      </c>
      <c r="D7" s="19" t="n">
        <f aca="false">D8/D50</f>
        <v>877.728173228001</v>
      </c>
      <c r="E7" s="19" t="n">
        <f aca="false">E8/E50</f>
        <v>850.529286296196</v>
      </c>
      <c r="F7" s="19" t="n">
        <f aca="false">F8/F50</f>
        <v>875.05348836068</v>
      </c>
      <c r="G7" s="19" t="n">
        <f aca="false">G8/G50</f>
        <v>816.184265029381</v>
      </c>
      <c r="H7" s="19" t="n">
        <f aca="false">H8/H50</f>
        <v>607.628653990632</v>
      </c>
      <c r="I7" s="19" t="n">
        <f aca="false">I8/I50</f>
        <v>551.836304558125</v>
      </c>
      <c r="J7" s="19" t="n">
        <f aca="false">J8/J50</f>
        <v>581.12439916889</v>
      </c>
      <c r="K7" s="19" t="n">
        <f aca="false">K8/K50</f>
        <v>520.231627981637</v>
      </c>
      <c r="L7" s="19" t="n">
        <f aca="false">L8/L50</f>
        <v>626.56693535691</v>
      </c>
      <c r="M7" s="19" t="n">
        <f aca="false">M8/M50</f>
        <v>717.780974149388</v>
      </c>
      <c r="N7" s="19" t="n">
        <f aca="false">N8/N50</f>
        <v>624.281550451598</v>
      </c>
      <c r="O7" s="18" t="s">
        <v>58</v>
      </c>
    </row>
    <row r="8" customFormat="false" ht="25.5" hidden="false" customHeight="true" outlineLevel="0" collapsed="false">
      <c r="A8" s="6" t="s">
        <v>59</v>
      </c>
      <c r="B8" s="14" t="s">
        <v>60</v>
      </c>
      <c r="C8" s="20" t="n">
        <f aca="false">표1_논문데이터!$M$5</f>
        <v>475.77</v>
      </c>
      <c r="D8" s="20" t="n">
        <f aca="false">표1_논문데이터!$M$6</f>
        <v>550.02</v>
      </c>
      <c r="E8" s="20" t="n">
        <f aca="false">표1_논문데이터!$M$7</f>
        <v>504.48</v>
      </c>
      <c r="F8" s="20" t="n">
        <f aca="false">표1_논문데이터!$M$8</f>
        <v>570.54</v>
      </c>
      <c r="G8" s="20" t="n">
        <f aca="false">표1_논문데이터!$M$9</f>
        <v>526.62</v>
      </c>
      <c r="H8" s="20" t="n">
        <f aca="false">표1_논문데이터!$M$10</f>
        <v>351.34</v>
      </c>
      <c r="I8" s="20" t="n">
        <f aca="false">표1_논문데이터!$M$11</f>
        <v>328.25</v>
      </c>
      <c r="J8" s="20" t="n">
        <f aca="false">표1_논문데이터!$M$12</f>
        <v>349.74</v>
      </c>
      <c r="K8" s="20" t="n">
        <f aca="false">표1_논문데이터!$M$13</f>
        <v>313.88</v>
      </c>
      <c r="L8" s="20" t="n">
        <f aca="false">표1_논문데이터!$M$14</f>
        <v>364.36</v>
      </c>
      <c r="M8" s="20" t="n">
        <f aca="false">표1_논문데이터!$M$15</f>
        <v>414.84</v>
      </c>
      <c r="N8" s="20" t="n">
        <f aca="false">표1_논문데이터!$M$16</f>
        <v>379.8</v>
      </c>
      <c r="O8" s="16" t="s">
        <v>61</v>
      </c>
    </row>
    <row r="9" customFormat="false" ht="25.5" hidden="false" customHeight="true" outlineLevel="0" collapsed="false">
      <c r="A9" s="6" t="s">
        <v>62</v>
      </c>
      <c r="B9" s="14" t="s">
        <v>18</v>
      </c>
      <c r="C9" s="21" t="n">
        <f aca="false">C44*가정!$C$25</f>
        <v>0.129786109833171</v>
      </c>
      <c r="D9" s="21" t="n">
        <f aca="false">D44*가정!$C$25</f>
        <v>0.105495364033228</v>
      </c>
      <c r="E9" s="21" t="n">
        <f aca="false">E44*가정!$C$25</f>
        <v>0.134679729735488</v>
      </c>
      <c r="F9" s="21" t="n">
        <f aca="false">F44*가정!$C$25</f>
        <v>0.112487540793129</v>
      </c>
      <c r="G9" s="21" t="n">
        <f aca="false">G44*가정!$C$25</f>
        <v>0.152498840115248</v>
      </c>
      <c r="H9" s="21" t="n">
        <f aca="false">H44*가정!$C$25</f>
        <v>0.204124223721345</v>
      </c>
      <c r="I9" s="21" t="n">
        <f aca="false">I44*가정!$C$25</f>
        <v>0.141449573428053</v>
      </c>
      <c r="J9" s="21" t="n">
        <f aca="false">J44*가정!$C$25</f>
        <v>0.139079299941892</v>
      </c>
      <c r="K9" s="21" t="n">
        <f aca="false">K44*가정!$C$25</f>
        <v>0.146053440479128</v>
      </c>
      <c r="L9" s="21" t="n">
        <f aca="false">L44*가정!$C$25</f>
        <v>0.138697843850678</v>
      </c>
      <c r="M9" s="21" t="n">
        <f aca="false">M44*가정!$C$25</f>
        <v>0.130566840068407</v>
      </c>
      <c r="N9" s="21" t="n">
        <f aca="false">N44*가정!$C$25</f>
        <v>0.167776823516636</v>
      </c>
      <c r="O9" s="18" t="s">
        <v>63</v>
      </c>
    </row>
    <row r="10" customFormat="false" ht="25.5" hidden="false" customHeight="true" outlineLevel="0" collapsed="false">
      <c r="A10" s="6" t="s">
        <v>64</v>
      </c>
      <c r="B10" s="14" t="s">
        <v>18</v>
      </c>
      <c r="C10" s="22" t="n">
        <f aca="false">가정!$C$6</f>
        <v>0.8</v>
      </c>
      <c r="D10" s="22" t="n">
        <f aca="false">가정!$C$6</f>
        <v>0.8</v>
      </c>
      <c r="E10" s="22" t="n">
        <f aca="false">가정!$C$6</f>
        <v>0.8</v>
      </c>
      <c r="F10" s="22" t="n">
        <f aca="false">가정!$C$6</f>
        <v>0.8</v>
      </c>
      <c r="G10" s="22" t="n">
        <f aca="false">가정!$C$6</f>
        <v>0.8</v>
      </c>
      <c r="H10" s="22" t="n">
        <f aca="false">가정!$C$6</f>
        <v>0.8</v>
      </c>
      <c r="I10" s="22" t="n">
        <f aca="false">가정!$C$6</f>
        <v>0.8</v>
      </c>
      <c r="J10" s="22" t="n">
        <f aca="false">가정!$C$6</f>
        <v>0.8</v>
      </c>
      <c r="K10" s="22" t="n">
        <f aca="false">가정!$C$6</f>
        <v>0.8</v>
      </c>
      <c r="L10" s="22" t="n">
        <f aca="false">가정!$C$6</f>
        <v>0.8</v>
      </c>
      <c r="M10" s="22" t="n">
        <f aca="false">가정!$C$6</f>
        <v>0.8</v>
      </c>
      <c r="N10" s="22" t="n">
        <f aca="false">가정!$C$6</f>
        <v>0.8</v>
      </c>
      <c r="O10" s="16" t="s">
        <v>65</v>
      </c>
    </row>
    <row r="11" customFormat="false" ht="25.5" hidden="false" customHeight="true" outlineLevel="0" collapsed="false">
      <c r="A11" s="6" t="s">
        <v>66</v>
      </c>
      <c r="B11" s="14" t="s">
        <v>18</v>
      </c>
      <c r="C11" s="22" t="n">
        <f aca="false">1-C12</f>
        <v>0</v>
      </c>
      <c r="D11" s="22" t="n">
        <f aca="false">1-D12</f>
        <v>0</v>
      </c>
      <c r="E11" s="22" t="n">
        <f aca="false">1-E12</f>
        <v>0</v>
      </c>
      <c r="F11" s="22" t="n">
        <f aca="false">1-F12</f>
        <v>0</v>
      </c>
      <c r="G11" s="22" t="n">
        <f aca="false">1-G12</f>
        <v>0</v>
      </c>
      <c r="H11" s="22" t="n">
        <f aca="false">1-H12</f>
        <v>0</v>
      </c>
      <c r="I11" s="22" t="n">
        <f aca="false">1-I12</f>
        <v>0</v>
      </c>
      <c r="J11" s="22" t="n">
        <f aca="false">1-J12</f>
        <v>0</v>
      </c>
      <c r="K11" s="22" t="n">
        <f aca="false">1-K12</f>
        <v>0</v>
      </c>
      <c r="L11" s="22" t="n">
        <f aca="false">1-L12</f>
        <v>0</v>
      </c>
      <c r="M11" s="22" t="n">
        <f aca="false">1-M12</f>
        <v>0</v>
      </c>
      <c r="N11" s="22" t="n">
        <f aca="false">1-N12</f>
        <v>0</v>
      </c>
      <c r="O11" s="18" t="s">
        <v>67</v>
      </c>
    </row>
    <row r="12" customFormat="false" ht="25.5" hidden="false" customHeight="true" outlineLevel="0" collapsed="false">
      <c r="A12" s="6" t="s">
        <v>68</v>
      </c>
      <c r="B12" s="14" t="s">
        <v>18</v>
      </c>
      <c r="C12" s="22" t="n">
        <f aca="false">가정!$C$27</f>
        <v>1</v>
      </c>
      <c r="D12" s="22" t="n">
        <f aca="false">가정!$C$27</f>
        <v>1</v>
      </c>
      <c r="E12" s="22" t="n">
        <f aca="false">가정!$C$27</f>
        <v>1</v>
      </c>
      <c r="F12" s="22" t="n">
        <f aca="false">가정!$C$27</f>
        <v>1</v>
      </c>
      <c r="G12" s="22" t="n">
        <f aca="false">가정!$C$27</f>
        <v>1</v>
      </c>
      <c r="H12" s="22" t="n">
        <f aca="false">가정!$C$27</f>
        <v>1</v>
      </c>
      <c r="I12" s="22" t="n">
        <f aca="false">가정!$C$27</f>
        <v>1</v>
      </c>
      <c r="J12" s="22" t="n">
        <f aca="false">가정!$C$27</f>
        <v>1</v>
      </c>
      <c r="K12" s="22" t="n">
        <f aca="false">가정!$C$27</f>
        <v>1</v>
      </c>
      <c r="L12" s="22" t="n">
        <f aca="false">가정!$C$27</f>
        <v>1</v>
      </c>
      <c r="M12" s="22" t="n">
        <f aca="false">가정!$C$27</f>
        <v>1</v>
      </c>
      <c r="N12" s="22" t="n">
        <f aca="false">가정!$C$27</f>
        <v>1</v>
      </c>
      <c r="O12" s="18" t="s">
        <v>69</v>
      </c>
    </row>
    <row r="13" customFormat="false" ht="25.5" hidden="false" customHeight="true" outlineLevel="0" collapsed="false">
      <c r="A13" s="6" t="s">
        <v>70</v>
      </c>
      <c r="B13" s="14" t="s">
        <v>18</v>
      </c>
      <c r="C13" s="21" t="n">
        <f aca="false">C44*(1-가정!$C$25)</f>
        <v>0.0648930549165856</v>
      </c>
      <c r="D13" s="21" t="n">
        <f aca="false">D44*(1-가정!$C$25)</f>
        <v>0.0527476820166138</v>
      </c>
      <c r="E13" s="21" t="n">
        <f aca="false">E44*(1-가정!$C$25)</f>
        <v>0.0673398648677438</v>
      </c>
      <c r="F13" s="21" t="n">
        <f aca="false">F44*(1-가정!$C$25)</f>
        <v>0.0562437703965647</v>
      </c>
      <c r="G13" s="21" t="n">
        <f aca="false">G44*(1-가정!$C$25)</f>
        <v>0.0762494200576242</v>
      </c>
      <c r="H13" s="21" t="n">
        <f aca="false">H44*(1-가정!$C$25)</f>
        <v>0.102062111860673</v>
      </c>
      <c r="I13" s="21" t="n">
        <f aca="false">I44*(1-가정!$C$25)</f>
        <v>0.0707247867140265</v>
      </c>
      <c r="J13" s="21" t="n">
        <f aca="false">J44*(1-가정!$C$25)</f>
        <v>0.0695396499709458</v>
      </c>
      <c r="K13" s="21" t="n">
        <f aca="false">K44*(1-가정!$C$25)</f>
        <v>0.073026720239564</v>
      </c>
      <c r="L13" s="21" t="n">
        <f aca="false">L44*(1-가정!$C$25)</f>
        <v>0.0693489219253389</v>
      </c>
      <c r="M13" s="21" t="n">
        <f aca="false">M44*(1-가정!$C$25)</f>
        <v>0.0652834200342033</v>
      </c>
      <c r="N13" s="21" t="n">
        <f aca="false">N44*(1-가정!$C$25)</f>
        <v>0.083888411758318</v>
      </c>
      <c r="O13" s="18" t="s">
        <v>71</v>
      </c>
    </row>
    <row r="14" customFormat="false" ht="25.5" hidden="false" customHeight="true" outlineLevel="0" collapsed="false">
      <c r="A14" s="6" t="s">
        <v>72</v>
      </c>
      <c r="B14" s="14" t="s">
        <v>73</v>
      </c>
      <c r="C14" s="21" t="n">
        <f aca="false">가정!$C$5</f>
        <v>0.04</v>
      </c>
      <c r="D14" s="21" t="n">
        <f aca="false">가정!$C$5</f>
        <v>0.04</v>
      </c>
      <c r="E14" s="21" t="n">
        <f aca="false">가정!$C$5</f>
        <v>0.04</v>
      </c>
      <c r="F14" s="21" t="n">
        <f aca="false">가정!$C$5</f>
        <v>0.04</v>
      </c>
      <c r="G14" s="21" t="n">
        <f aca="false">가정!$C$5</f>
        <v>0.04</v>
      </c>
      <c r="H14" s="21" t="n">
        <f aca="false">가정!$C$5</f>
        <v>0.04</v>
      </c>
      <c r="I14" s="21" t="n">
        <f aca="false">가정!$C$5</f>
        <v>0.04</v>
      </c>
      <c r="J14" s="21" t="n">
        <f aca="false">가정!$C$5</f>
        <v>0.04</v>
      </c>
      <c r="K14" s="21" t="n">
        <f aca="false">가정!$C$5</f>
        <v>0.04</v>
      </c>
      <c r="L14" s="21" t="n">
        <f aca="false">가정!$C$5</f>
        <v>0.04</v>
      </c>
      <c r="M14" s="21" t="n">
        <f aca="false">가정!$C$5</f>
        <v>0.04</v>
      </c>
      <c r="N14" s="21" t="n">
        <f aca="false">가정!$C$5</f>
        <v>0.04</v>
      </c>
      <c r="O14" s="16" t="s">
        <v>74</v>
      </c>
    </row>
    <row r="15" customFormat="false" ht="25.5" hidden="false" customHeight="true" outlineLevel="0" collapsed="false">
      <c r="A15" s="6" t="s">
        <v>75</v>
      </c>
      <c r="B15" s="14" t="s">
        <v>73</v>
      </c>
      <c r="C15" s="21" t="n">
        <f aca="false">표1_논문데이터!$H$5/100*C24</f>
        <v>0.317449559255632</v>
      </c>
      <c r="D15" s="21" t="n">
        <f aca="false">표1_논문데이터!$H$6/100*D24</f>
        <v>0.365329775280899</v>
      </c>
      <c r="E15" s="21" t="n">
        <f aca="false">표1_논문데이터!$H$7/100*E24</f>
        <v>0.256716357045764</v>
      </c>
      <c r="F15" s="21" t="n">
        <f aca="false">표1_논문데이터!$H$8/100*F24</f>
        <v>0.512762934362934</v>
      </c>
      <c r="G15" s="21" t="n">
        <f aca="false">표1_논문데이터!$H$9/100*G24</f>
        <v>0.445547311827957</v>
      </c>
      <c r="H15" s="21" t="n">
        <f aca="false">표1_논문데이터!$H$10/100*H24</f>
        <v>0.189260812294182</v>
      </c>
      <c r="I15" s="21" t="n">
        <f aca="false">표1_논문데이터!$H$11/100*I24</f>
        <v>0.181969772727273</v>
      </c>
      <c r="J15" s="21" t="n">
        <f aca="false">표1_논문데이터!$H$12/100*J24</f>
        <v>0.307142108023073</v>
      </c>
      <c r="K15" s="21" t="n">
        <f aca="false">표1_논문데이터!$H$13/100*K24</f>
        <v>0.314556618819777</v>
      </c>
      <c r="L15" s="21" t="n">
        <f aca="false">표1_논문데이터!$H$14/100*L24</f>
        <v>0.209665784726398</v>
      </c>
      <c r="M15" s="21" t="n">
        <f aca="false">표1_논문데이터!$H$15/100*M24</f>
        <v>0.226345681381958</v>
      </c>
      <c r="N15" s="21" t="n">
        <f aca="false">표1_논문데이터!$H$16/100*N24</f>
        <v>0.335278481012658</v>
      </c>
      <c r="O15" s="16" t="s">
        <v>76</v>
      </c>
    </row>
    <row r="16" customFormat="false" ht="25.5" hidden="false" customHeight="true" outlineLevel="0" collapsed="false">
      <c r="A16" s="6" t="s">
        <v>77</v>
      </c>
      <c r="B16" s="14" t="s">
        <v>73</v>
      </c>
      <c r="C16" s="21" t="n">
        <f aca="false">표1_논문데이터!$I$5/100*C24</f>
        <v>0.0976767874632713</v>
      </c>
      <c r="D16" s="21" t="n">
        <f aca="false">표1_논문데이터!$I$6/100*D24</f>
        <v>0.171147893258427</v>
      </c>
      <c r="E16" s="21" t="n">
        <f aca="false">표1_논문데이터!$I$7/100*E24</f>
        <v>0.133371091980063</v>
      </c>
      <c r="F16" s="21" t="n">
        <f aca="false">표1_논문데이터!$I$8/100*F24</f>
        <v>0.111557859900717</v>
      </c>
      <c r="G16" s="21" t="n">
        <f aca="false">표1_논문데이터!$I$9/100*G24</f>
        <v>0.164149009620826</v>
      </c>
      <c r="H16" s="21" t="n">
        <f aca="false">표1_논문데이터!$I$10/100*H24</f>
        <v>0.108898024149287</v>
      </c>
      <c r="I16" s="21" t="n">
        <f aca="false">표1_논문데이터!$I$11/100*I24</f>
        <v>0.205131287878788</v>
      </c>
      <c r="J16" s="21" t="n">
        <f aca="false">표1_논문데이터!$I$12/100*J24</f>
        <v>0.102892606187729</v>
      </c>
      <c r="K16" s="21" t="n">
        <f aca="false">표1_논문데이터!$I$13/100*K24</f>
        <v>0.138442583732057</v>
      </c>
      <c r="L16" s="21" t="n">
        <f aca="false">표1_논문데이터!$I$14/100*L24</f>
        <v>0.120901503307276</v>
      </c>
      <c r="M16" s="21" t="n">
        <f aca="false">표1_논문데이터!$I$15/100*M24</f>
        <v>0.0909115163147793</v>
      </c>
      <c r="N16" s="21" t="n">
        <f aca="false">표1_논문데이터!$I$16/100*N24</f>
        <v>0.13337552742616</v>
      </c>
      <c r="O16" s="16" t="s">
        <v>78</v>
      </c>
    </row>
    <row r="17" customFormat="false" ht="25.5" hidden="false" customHeight="true" outlineLevel="0" collapsed="false">
      <c r="A17" s="6" t="s">
        <v>79</v>
      </c>
      <c r="B17" s="14" t="s">
        <v>73</v>
      </c>
      <c r="C17" s="21" t="n">
        <f aca="false">1-C24</f>
        <v>0.098922624877571</v>
      </c>
      <c r="D17" s="21" t="n">
        <f aca="false">1-D24</f>
        <v>0.107209737827715</v>
      </c>
      <c r="E17" s="21" t="n">
        <f aca="false">1-E24</f>
        <v>0.0801993656547348</v>
      </c>
      <c r="F17" s="21" t="n">
        <f aca="false">1-F24</f>
        <v>0.159955874241589</v>
      </c>
      <c r="G17" s="21" t="n">
        <f aca="false">1-G24</f>
        <v>0.134691567628749</v>
      </c>
      <c r="H17" s="21" t="n">
        <f aca="false">1-H24</f>
        <v>0.140504939626784</v>
      </c>
      <c r="I17" s="21" t="n">
        <f aca="false">1-I24</f>
        <v>0.0507575757575758</v>
      </c>
      <c r="J17" s="21" t="n">
        <f aca="false">1-J24</f>
        <v>0.146827477713686</v>
      </c>
      <c r="K17" s="21" t="n">
        <f aca="false">1-K24</f>
        <v>0.0582137161084531</v>
      </c>
      <c r="L17" s="21" t="n">
        <f aca="false">1-L24</f>
        <v>0.0895971136500301</v>
      </c>
      <c r="M17" s="21" t="n">
        <f aca="false">1-M24</f>
        <v>0.111324376199616</v>
      </c>
      <c r="N17" s="21" t="n">
        <f aca="false">1-N24</f>
        <v>0.0801687763713082</v>
      </c>
      <c r="O17" s="18" t="s">
        <v>80</v>
      </c>
    </row>
    <row r="18" customFormat="false" ht="25.5" hidden="false" customHeight="true" outlineLevel="0" collapsed="false">
      <c r="A18" s="6" t="s">
        <v>81</v>
      </c>
      <c r="B18" s="14" t="s">
        <v>82</v>
      </c>
      <c r="C18" s="8" t="n">
        <v>35</v>
      </c>
      <c r="D18" s="8" t="n">
        <v>35</v>
      </c>
      <c r="E18" s="8" t="n">
        <v>35</v>
      </c>
      <c r="F18" s="8" t="n">
        <v>35</v>
      </c>
      <c r="G18" s="8" t="n">
        <v>35</v>
      </c>
      <c r="H18" s="8" t="n">
        <v>35</v>
      </c>
      <c r="I18" s="8" t="n">
        <v>35</v>
      </c>
      <c r="J18" s="8" t="n">
        <v>35</v>
      </c>
      <c r="K18" s="8" t="n">
        <v>35</v>
      </c>
      <c r="L18" s="8" t="n">
        <v>35</v>
      </c>
      <c r="M18" s="8" t="n">
        <v>35</v>
      </c>
      <c r="N18" s="8" t="n">
        <v>35</v>
      </c>
      <c r="O18" s="16" t="s">
        <v>83</v>
      </c>
    </row>
    <row r="19" customFormat="false" ht="25.5" hidden="false" customHeight="true" outlineLevel="0" collapsed="false">
      <c r="A19" s="6" t="s">
        <v>7</v>
      </c>
      <c r="B19" s="14" t="s">
        <v>18</v>
      </c>
      <c r="C19" s="8" t="n">
        <v>7</v>
      </c>
      <c r="D19" s="8" t="n">
        <v>7</v>
      </c>
      <c r="E19" s="8" t="n">
        <v>7</v>
      </c>
      <c r="F19" s="8" t="n">
        <v>7</v>
      </c>
      <c r="G19" s="8" t="n">
        <v>7</v>
      </c>
      <c r="H19" s="8" t="n">
        <v>7</v>
      </c>
      <c r="I19" s="8" t="n">
        <v>7</v>
      </c>
      <c r="J19" s="8" t="n">
        <v>7</v>
      </c>
      <c r="K19" s="8" t="n">
        <v>7</v>
      </c>
      <c r="L19" s="8" t="n">
        <v>7</v>
      </c>
      <c r="M19" s="8" t="n">
        <v>7</v>
      </c>
      <c r="N19" s="8" t="n">
        <v>7</v>
      </c>
      <c r="O19" s="16" t="s">
        <v>84</v>
      </c>
    </row>
    <row r="20" customFormat="false" ht="25.5" hidden="false" customHeight="true" outlineLevel="0" collapsed="false">
      <c r="A20" s="6" t="s">
        <v>85</v>
      </c>
      <c r="B20" s="14" t="s">
        <v>86</v>
      </c>
      <c r="C20" s="15" t="n">
        <f aca="false">C53+C54</f>
        <v>7.49697593423936</v>
      </c>
      <c r="D20" s="15" t="n">
        <f aca="false">D53+D54</f>
        <v>4.14726328277071</v>
      </c>
      <c r="E20" s="15" t="n">
        <f aca="false">E53+E54</f>
        <v>4.14726328277071</v>
      </c>
      <c r="F20" s="15" t="n">
        <f aca="false">F53+F54</f>
        <v>2.28222180649512</v>
      </c>
      <c r="G20" s="15" t="n">
        <f aca="false">G53+G54</f>
        <v>2.80983222412572</v>
      </c>
      <c r="H20" s="15" t="n">
        <f aca="false">H53+H54</f>
        <v>4.04910320507199</v>
      </c>
      <c r="I20" s="15" t="n">
        <f aca="false">I53+I54</f>
        <v>2.85891226297507</v>
      </c>
      <c r="J20" s="15" t="n">
        <f aca="false">J53+J54</f>
        <v>6.02457476875863</v>
      </c>
      <c r="K20" s="15" t="n">
        <f aca="false">K53+K54</f>
        <v>2.3067618259198</v>
      </c>
      <c r="L20" s="15" t="n">
        <f aca="false">L53+L54</f>
        <v>4.04910320507199</v>
      </c>
      <c r="M20" s="15" t="n">
        <f aca="false">M53+M54</f>
        <v>4.74849375867534</v>
      </c>
      <c r="N20" s="15" t="n">
        <f aca="false">N53+N54</f>
        <v>7.23930573028023</v>
      </c>
      <c r="O20" s="18" t="s">
        <v>87</v>
      </c>
    </row>
    <row r="21" customFormat="false" ht="25.5" hidden="false" customHeight="true" outlineLevel="0" collapsed="false">
      <c r="A21" s="6" t="s">
        <v>88</v>
      </c>
      <c r="B21" s="14" t="s">
        <v>89</v>
      </c>
      <c r="C21" s="23" t="n">
        <f aca="false">표1_논문데이터!$D$5*C31</f>
        <v>0.611</v>
      </c>
      <c r="D21" s="23" t="n">
        <f aca="false">표1_논문데이터!$D$6*D31</f>
        <v>0.338</v>
      </c>
      <c r="E21" s="23" t="n">
        <f aca="false">표1_논문데이터!$D$7*E31</f>
        <v>0.338</v>
      </c>
      <c r="F21" s="23" t="n">
        <f aca="false">표1_논문데이터!$D$8*F31</f>
        <v>0.186</v>
      </c>
      <c r="G21" s="23" t="n">
        <f aca="false">표1_논문데이터!$D$9*G31</f>
        <v>0.229</v>
      </c>
      <c r="H21" s="23" t="n">
        <f aca="false">표1_논문데이터!$D$10*H31</f>
        <v>0.33</v>
      </c>
      <c r="I21" s="23" t="n">
        <f aca="false">표1_논문데이터!$D$11*I31</f>
        <v>0.233</v>
      </c>
      <c r="J21" s="23" t="n">
        <f aca="false">표1_논문데이터!$D$12*J31</f>
        <v>0.491</v>
      </c>
      <c r="K21" s="23" t="n">
        <f aca="false">표1_논문데이터!$D$13*K31</f>
        <v>0.188</v>
      </c>
      <c r="L21" s="23" t="n">
        <f aca="false">표1_논문데이터!$D$14*L31</f>
        <v>0.33</v>
      </c>
      <c r="M21" s="23" t="n">
        <f aca="false">표1_논문데이터!$D$15*M31</f>
        <v>0.387</v>
      </c>
      <c r="N21" s="23" t="n">
        <f aca="false">표1_논문데이터!$D$16*N31</f>
        <v>0.59</v>
      </c>
      <c r="O21" s="18" t="s">
        <v>90</v>
      </c>
    </row>
    <row r="23" customFormat="false" ht="17.15" hidden="false" customHeight="false" outlineLevel="0" collapsed="false">
      <c r="A23" s="24" t="s">
        <v>91</v>
      </c>
    </row>
    <row r="24" customFormat="false" ht="24" hidden="false" customHeight="true" outlineLevel="0" collapsed="false">
      <c r="A24" s="14" t="s">
        <v>92</v>
      </c>
      <c r="B24" s="14" t="s">
        <v>18</v>
      </c>
      <c r="C24" s="21" t="n">
        <f aca="false">표1_논문데이터!$C$5/표1_논문데이터!$B$5</f>
        <v>0.901077375122429</v>
      </c>
      <c r="D24" s="21" t="n">
        <f aca="false">표1_논문데이터!$C$6/표1_논문데이터!$B$6</f>
        <v>0.892790262172285</v>
      </c>
      <c r="E24" s="21" t="n">
        <f aca="false">표1_논문데이터!$C$7/표1_논문데이터!$B$7</f>
        <v>0.919800634345265</v>
      </c>
      <c r="F24" s="21" t="n">
        <f aca="false">표1_논문데이터!$C$8/표1_논문데이터!$B$8</f>
        <v>0.840044125758412</v>
      </c>
      <c r="G24" s="21" t="n">
        <f aca="false">표1_논문데이터!$C$9/표1_논문데이터!$B$9</f>
        <v>0.865308432371251</v>
      </c>
      <c r="H24" s="21" t="n">
        <f aca="false">표1_논문데이터!$C$10/표1_논문데이터!$B$10</f>
        <v>0.859495060373216</v>
      </c>
      <c r="I24" s="21" t="n">
        <f aca="false">표1_논문데이터!$C$11/표1_논문데이터!$B$11</f>
        <v>0.949242424242424</v>
      </c>
      <c r="J24" s="21" t="n">
        <f aca="false">표1_논문데이터!$C$12/표1_논문데이터!$B$12</f>
        <v>0.853172522286314</v>
      </c>
      <c r="K24" s="21" t="n">
        <f aca="false">표1_논문데이터!$C$13/표1_논문데이터!$B$13</f>
        <v>0.941786283891547</v>
      </c>
      <c r="L24" s="21" t="n">
        <f aca="false">표1_논문데이터!$C$14/표1_논문데이터!$B$14</f>
        <v>0.91040288634997</v>
      </c>
      <c r="M24" s="21" t="n">
        <f aca="false">표1_논문데이터!$C$15/표1_논문데이터!$B$15</f>
        <v>0.888675623800384</v>
      </c>
      <c r="N24" s="21" t="n">
        <f aca="false">표1_논문데이터!$C$16/표1_논문데이터!$B$16</f>
        <v>0.919831223628692</v>
      </c>
      <c r="O24" s="18" t="s">
        <v>93</v>
      </c>
    </row>
    <row r="25" customFormat="false" ht="24" hidden="false" customHeight="true" outlineLevel="0" collapsed="false">
      <c r="A25" s="14" t="s">
        <v>94</v>
      </c>
      <c r="B25" s="14" t="s">
        <v>95</v>
      </c>
      <c r="C25" s="22" t="n">
        <f aca="false">표1_논문데이터!$D$5/가정!$C$10</f>
        <v>6.51733333333333</v>
      </c>
      <c r="D25" s="22" t="n">
        <f aca="false">표1_논문데이터!$D$6/가정!$C$10</f>
        <v>3.60533333333333</v>
      </c>
      <c r="E25" s="22" t="n">
        <f aca="false">표1_논문데이터!$D$7/가정!$C$10</f>
        <v>3.60533333333333</v>
      </c>
      <c r="F25" s="22" t="n">
        <f aca="false">표1_논문데이터!$D$8/가정!$C$10</f>
        <v>1.984</v>
      </c>
      <c r="G25" s="22" t="n">
        <f aca="false">표1_논문데이터!$D$9/가정!$C$10</f>
        <v>2.44266666666667</v>
      </c>
      <c r="H25" s="22" t="n">
        <f aca="false">표1_논문데이터!$D$10/가정!$C$10</f>
        <v>3.52</v>
      </c>
      <c r="I25" s="22" t="n">
        <f aca="false">표1_논문데이터!$D$11/가정!$C$10</f>
        <v>2.48533333333333</v>
      </c>
      <c r="J25" s="22" t="n">
        <f aca="false">표1_논문데이터!$D$12/가정!$C$10</f>
        <v>5.23733333333333</v>
      </c>
      <c r="K25" s="22" t="n">
        <f aca="false">표1_논문데이터!$D$13/가정!$C$10</f>
        <v>2.00533333333333</v>
      </c>
      <c r="L25" s="22" t="n">
        <f aca="false">표1_논문데이터!$D$14/가정!$C$10</f>
        <v>3.52</v>
      </c>
      <c r="M25" s="22" t="n">
        <f aca="false">표1_논문데이터!$D$15/가정!$C$10</f>
        <v>4.128</v>
      </c>
      <c r="N25" s="22" t="n">
        <f aca="false">표1_논문데이터!$D$16/가정!$C$10</f>
        <v>6.29333333333333</v>
      </c>
      <c r="O25" s="18" t="s">
        <v>96</v>
      </c>
    </row>
    <row r="26" customFormat="false" ht="24" hidden="false" customHeight="true" outlineLevel="0" collapsed="false">
      <c r="A26" s="14" t="s">
        <v>97</v>
      </c>
      <c r="B26" s="14" t="s">
        <v>98</v>
      </c>
      <c r="C26" s="25" t="n">
        <f aca="false">((1-C14-C15-C16-C17)+C14*C10)/가정!$C$7+C15/가정!$C$8+C16/가정!$C$9</f>
        <v>1.20132207720671</v>
      </c>
      <c r="D26" s="25" t="n">
        <f aca="false">((1-D14-D15-D16-D17)+D14*D10)/가정!$C$7+D15/가정!$C$8+D16/가정!$C$9</f>
        <v>1.33641391625471</v>
      </c>
      <c r="E26" s="25" t="n">
        <f aca="false">((1-E14-E15-E16-E17)+E14*E10)/가정!$C$7+E15/가정!$C$8+E16/가정!$C$9</f>
        <v>1.27223738077482</v>
      </c>
      <c r="F26" s="25" t="n">
        <f aca="false">((1-F14-F15-F16-F17)+F14*F10)/가정!$C$7+F15/가정!$C$8+F16/가정!$C$9</f>
        <v>1.2055079838144</v>
      </c>
      <c r="G26" s="25" t="n">
        <f aca="false">((1-G14-G15-G16-G17)+G14*G10)/가정!$C$7+G15/가정!$C$8+G16/가정!$C$9</f>
        <v>1.31254821463903</v>
      </c>
      <c r="H26" s="25" t="n">
        <f aca="false">((1-H14-H15-H16-H17)+H14*H10)/가정!$C$7+H15/가정!$C$8+H16/가정!$C$9</f>
        <v>1.14832812240758</v>
      </c>
      <c r="I26" s="25" t="n">
        <f aca="false">((1-I14-I15-I16-I17)+I14*I10)/가정!$C$7+I15/가정!$C$8+I16/가정!$C$9</f>
        <v>1.41676109214819</v>
      </c>
      <c r="J26" s="25" t="n">
        <f aca="false">((1-J14-J15-J16-J17)+J14*J10)/가정!$C$7+J15/가정!$C$8+J16/가정!$C$9</f>
        <v>1.1573439106837</v>
      </c>
      <c r="K26" s="25" t="n">
        <f aca="false">((1-K14-K15-K16-K17)+K14*K10)/가정!$C$7+K15/가정!$C$8+K16/가정!$C$9</f>
        <v>1.31794837212435</v>
      </c>
      <c r="L26" s="25" t="n">
        <f aca="false">((1-L14-L15-L16-L17)+L14*L10)/가정!$C$7+L15/가정!$C$8+L16/가정!$C$9</f>
        <v>1.22898839061704</v>
      </c>
      <c r="M26" s="25" t="n">
        <f aca="false">((1-M14-M15-M16-M17)+M14*M10)/가정!$C$7+M15/가정!$C$8+M16/가정!$C$9</f>
        <v>1.15524793474791</v>
      </c>
      <c r="N26" s="25" t="n">
        <f aca="false">((1-N14-N15-N16-N17)+N14*N10)/가정!$C$7+N15/가정!$C$8+N16/가정!$C$9</f>
        <v>1.29003238115142</v>
      </c>
      <c r="O26" s="18" t="s">
        <v>99</v>
      </c>
    </row>
    <row r="27" customFormat="false" ht="24" hidden="false" customHeight="true" outlineLevel="0" collapsed="false">
      <c r="A27" s="14" t="s">
        <v>100</v>
      </c>
      <c r="B27" s="14" t="s">
        <v>95</v>
      </c>
      <c r="C27" s="15" t="n">
        <f aca="false">표1_논문데이터!$J$5-C25</f>
        <v>307.982666666667</v>
      </c>
      <c r="D27" s="15" t="n">
        <f aca="false">표1_논문데이터!$J$6-D25</f>
        <v>376.794666666667</v>
      </c>
      <c r="E27" s="15" t="n">
        <f aca="false">표1_논문데이터!$J$7-E25</f>
        <v>261.494666666667</v>
      </c>
      <c r="F27" s="15" t="n">
        <f aca="false">표1_논문데이터!$J$8-F25</f>
        <v>316.216</v>
      </c>
      <c r="G27" s="15" t="n">
        <f aca="false">표1_논문데이터!$J$9-G25</f>
        <v>312.957333333333</v>
      </c>
      <c r="H27" s="15" t="n">
        <f aca="false">표1_논문데이터!$J$10-H25</f>
        <v>238.68</v>
      </c>
      <c r="I27" s="15" t="n">
        <f aca="false">표1_논문데이터!$J$11-I25</f>
        <v>314.714666666667</v>
      </c>
      <c r="J27" s="15" t="n">
        <f aca="false">표1_논문데이터!$J$12-J25</f>
        <v>213.162666666667</v>
      </c>
      <c r="K27" s="15" t="n">
        <f aca="false">표1_논문데이터!$J$13-K25</f>
        <v>143.994666666667</v>
      </c>
      <c r="L27" s="15" t="n">
        <f aca="false">표1_논문데이터!$J$14-L25</f>
        <v>212.98</v>
      </c>
      <c r="M27" s="15" t="n">
        <f aca="false">표1_논문데이터!$J$15-M25</f>
        <v>307.672</v>
      </c>
      <c r="N27" s="15" t="n">
        <f aca="false">표1_논문데이터!$J$16-N25</f>
        <v>300.906666666667</v>
      </c>
      <c r="O27" s="18" t="s">
        <v>101</v>
      </c>
    </row>
    <row r="28" customFormat="false" ht="24" hidden="false" customHeight="true" outlineLevel="0" collapsed="false">
      <c r="A28" s="14" t="s">
        <v>102</v>
      </c>
      <c r="B28" s="14" t="s">
        <v>103</v>
      </c>
      <c r="C28" s="26" t="n">
        <f aca="false">(1-C15-C16-C17)/가정!$C$11+C15/가정!$C$12+C16/가정!$C$13+C17/가정!$C$14-1/가정!$C$16</f>
        <v>-0.000307720661851926</v>
      </c>
      <c r="D28" s="26" t="n">
        <f aca="false">(1-D15-D16-D17)/가정!$C$11+D15/가정!$C$12+D16/가정!$C$13+D17/가정!$C$14-1/가정!$C$16</f>
        <v>-0.000273124974469407</v>
      </c>
      <c r="E28" s="26" t="n">
        <f aca="false">(1-E15-E16-E17)/가정!$C$11+E15/가정!$C$12+E16/가정!$C$13+E17/가정!$C$14-1/가정!$C$16</f>
        <v>-0.000292756543654417</v>
      </c>
      <c r="F28" s="26" t="n">
        <f aca="false">(1-F15-F16-F17)/가정!$C$11+F15/가정!$C$12+F16/가정!$C$13+F17/가정!$C$14-1/가정!$C$16</f>
        <v>-0.00029918813090141</v>
      </c>
      <c r="G28" s="26" t="n">
        <f aca="false">(1-G15-G16-G17)/가정!$C$11+G15/가정!$C$12+G16/가정!$C$13+G17/가정!$C$14-1/가정!$C$16</f>
        <v>-0.000275791435644127</v>
      </c>
      <c r="H28" s="26" t="n">
        <f aca="false">(1-H15-H16-H17)/가정!$C$11+H15/가정!$C$12+H16/가정!$C$13+H17/가정!$C$14-1/가정!$C$16</f>
        <v>-0.000323273709186424</v>
      </c>
      <c r="I28" s="26" t="n">
        <f aca="false">(1-I15-I16-I17)/가정!$C$11+I15/가정!$C$12+I16/가정!$C$13+I17/가정!$C$14-1/가정!$C$16</f>
        <v>-0.000260560504835824</v>
      </c>
      <c r="J28" s="26" t="n">
        <f aca="false">(1-J15-J16-J17)/가정!$C$11+J15/가정!$C$12+J16/가정!$C$13+J17/가정!$C$14-1/가정!$C$16</f>
        <v>-0.000317401019439987</v>
      </c>
      <c r="K28" s="26" t="n">
        <f aca="false">(1-K15-K16-K17)/가정!$C$11+K15/가정!$C$12+K16/가정!$C$13+K17/가정!$C$14-1/가정!$C$16</f>
        <v>-0.000280513800644321</v>
      </c>
      <c r="L28" s="26" t="n">
        <f aca="false">(1-L15-L16-L17)/가정!$C$11+L15/가정!$C$12+L16/가정!$C$13+L17/가정!$C$14-1/가정!$C$16</f>
        <v>-0.000304433520247161</v>
      </c>
      <c r="M28" s="26" t="n">
        <f aca="false">(1-M15-M16-M17)/가정!$C$11+M15/가정!$C$12+M16/가정!$C$13+M17/가정!$C$14-1/가정!$C$16</f>
        <v>-0.000321308451168135</v>
      </c>
      <c r="N28" s="26" t="n">
        <f aca="false">(1-N15-N16-N17)/가정!$C$11+N15/가정!$C$12+N16/가정!$C$13+N17/가정!$C$14-1/가정!$C$16</f>
        <v>-0.000286088114508414</v>
      </c>
      <c r="O28" s="18" t="s">
        <v>104</v>
      </c>
    </row>
    <row r="29" customFormat="false" ht="24" hidden="false" customHeight="true" outlineLevel="0" collapsed="false">
      <c r="A29" s="14" t="s">
        <v>105</v>
      </c>
      <c r="B29" s="14" t="s">
        <v>103</v>
      </c>
      <c r="C29" s="26" t="n">
        <f aca="false">(1-(C21/1000))/가정!$C$16+(C21/1000)/가정!$C$15</f>
        <v>0.000999970904761905</v>
      </c>
      <c r="D29" s="26" t="n">
        <f aca="false">(1-(D21/1000))/가정!$C$16+(D21/1000)/가정!$C$15</f>
        <v>0.000999983904761905</v>
      </c>
      <c r="E29" s="26" t="n">
        <f aca="false">(1-(E21/1000))/가정!$C$16+(E21/1000)/가정!$C$15</f>
        <v>0.000999983904761905</v>
      </c>
      <c r="F29" s="26" t="n">
        <f aca="false">(1-(F21/1000))/가정!$C$16+(F21/1000)/가정!$C$15</f>
        <v>0.000999991142857143</v>
      </c>
      <c r="G29" s="26" t="n">
        <f aca="false">(1-(G21/1000))/가정!$C$16+(G21/1000)/가정!$C$15</f>
        <v>0.000999989095238095</v>
      </c>
      <c r="H29" s="26" t="n">
        <f aca="false">(1-(H21/1000))/가정!$C$16+(H21/1000)/가정!$C$15</f>
        <v>0.000999984285714286</v>
      </c>
      <c r="I29" s="26" t="n">
        <f aca="false">(1-(I21/1000))/가정!$C$16+(I21/1000)/가정!$C$15</f>
        <v>0.000999988904761905</v>
      </c>
      <c r="J29" s="26" t="n">
        <f aca="false">(1-(J21/1000))/가정!$C$16+(J21/1000)/가정!$C$15</f>
        <v>0.000999976619047619</v>
      </c>
      <c r="K29" s="26" t="n">
        <f aca="false">(1-(K21/1000))/가정!$C$16+(K21/1000)/가정!$C$15</f>
        <v>0.000999991047619048</v>
      </c>
      <c r="L29" s="26" t="n">
        <f aca="false">(1-(L21/1000))/가정!$C$16+(L21/1000)/가정!$C$15</f>
        <v>0.000999984285714286</v>
      </c>
      <c r="M29" s="26" t="n">
        <f aca="false">(1-(M21/1000))/가정!$C$16+(M21/1000)/가정!$C$15</f>
        <v>0.000999981571428571</v>
      </c>
      <c r="N29" s="26" t="n">
        <f aca="false">(1-(N21/1000))/가정!$C$16+(N21/1000)/가정!$C$15</f>
        <v>0.000999971904761905</v>
      </c>
      <c r="O29" s="18" t="s">
        <v>106</v>
      </c>
    </row>
    <row r="30" customFormat="false" ht="24" hidden="false" customHeight="true" outlineLevel="0" collapsed="false">
      <c r="A30" s="14" t="s">
        <v>107</v>
      </c>
      <c r="B30" s="14" t="s">
        <v>51</v>
      </c>
      <c r="C30" s="15" t="n">
        <f aca="false">C27/C26</f>
        <v>256.369771695848</v>
      </c>
      <c r="D30" s="15" t="n">
        <f aca="false">D27/D26</f>
        <v>281.944584745593</v>
      </c>
      <c r="E30" s="15" t="n">
        <f aca="false">E27/E26</f>
        <v>205.539210384945</v>
      </c>
      <c r="F30" s="15" t="n">
        <f aca="false">F27/F26</f>
        <v>262.309337014465</v>
      </c>
      <c r="G30" s="15" t="n">
        <f aca="false">G27/G26</f>
        <v>238.434923641569</v>
      </c>
      <c r="H30" s="15" t="n">
        <f aca="false">H27/H26</f>
        <v>207.849999788898</v>
      </c>
      <c r="I30" s="15" t="n">
        <f aca="false">I27/I26</f>
        <v>222.136723270311</v>
      </c>
      <c r="J30" s="15" t="n">
        <f aca="false">J27/J26</f>
        <v>184.182648475458</v>
      </c>
      <c r="K30" s="15" t="n">
        <f aca="false">K27/K26</f>
        <v>109.256682365006</v>
      </c>
      <c r="L30" s="15" t="n">
        <f aca="false">L27/L26</f>
        <v>173.296999081553</v>
      </c>
      <c r="M30" s="15" t="n">
        <f aca="false">M27/M26</f>
        <v>266.325513983402</v>
      </c>
      <c r="N30" s="15" t="n">
        <f aca="false">N27/N26</f>
        <v>233.255126819447</v>
      </c>
      <c r="O30" s="18" t="s">
        <v>108</v>
      </c>
    </row>
    <row r="31" customFormat="false" ht="24" hidden="false" customHeight="true" outlineLevel="0" collapsed="false">
      <c r="A31" s="27" t="s">
        <v>109</v>
      </c>
      <c r="B31" s="14" t="s">
        <v>18</v>
      </c>
      <c r="C31" s="21" t="n">
        <f aca="false">1/(1+가정!$C$28)</f>
        <v>0.1</v>
      </c>
      <c r="D31" s="21" t="n">
        <f aca="false">1/(1+가정!$C$28)</f>
        <v>0.1</v>
      </c>
      <c r="E31" s="21" t="n">
        <f aca="false">1/(1+가정!$C$28)</f>
        <v>0.1</v>
      </c>
      <c r="F31" s="21" t="n">
        <f aca="false">1/(1+가정!$C$28)</f>
        <v>0.1</v>
      </c>
      <c r="G31" s="21" t="n">
        <f aca="false">1/(1+가정!$C$28)</f>
        <v>0.1</v>
      </c>
      <c r="H31" s="21" t="n">
        <f aca="false">1/(1+가정!$C$28)</f>
        <v>0.1</v>
      </c>
      <c r="I31" s="21" t="n">
        <f aca="false">1/(1+가정!$C$28)</f>
        <v>0.1</v>
      </c>
      <c r="J31" s="21" t="n">
        <f aca="false">1/(1+가정!$C$28)</f>
        <v>0.1</v>
      </c>
      <c r="K31" s="21" t="n">
        <f aca="false">1/(1+가정!$C$28)</f>
        <v>0.1</v>
      </c>
      <c r="L31" s="21" t="n">
        <f aca="false">1/(1+가정!$C$28)</f>
        <v>0.1</v>
      </c>
      <c r="M31" s="21" t="n">
        <f aca="false">1/(1+가정!$C$28)</f>
        <v>0.1</v>
      </c>
      <c r="N31" s="21" t="n">
        <f aca="false">1/(1+가정!$C$28)</f>
        <v>0.1</v>
      </c>
      <c r="O31" s="18" t="s">
        <v>110</v>
      </c>
    </row>
    <row r="32" customFormat="false" ht="24" hidden="false" customHeight="true" outlineLevel="0" collapsed="false">
      <c r="A32" s="27" t="s">
        <v>111</v>
      </c>
      <c r="B32" s="14" t="s">
        <v>112</v>
      </c>
      <c r="C32" s="15" t="n">
        <f aca="false">가정!$C$26</f>
        <v>200</v>
      </c>
      <c r="D32" s="15" t="n">
        <f aca="false">가정!$C$26</f>
        <v>200</v>
      </c>
      <c r="E32" s="15" t="n">
        <f aca="false">가정!$C$26</f>
        <v>200</v>
      </c>
      <c r="F32" s="15" t="n">
        <f aca="false">가정!$C$26</f>
        <v>200</v>
      </c>
      <c r="G32" s="15" t="n">
        <f aca="false">가정!$C$26</f>
        <v>200</v>
      </c>
      <c r="H32" s="15" t="n">
        <f aca="false">가정!$C$26</f>
        <v>200</v>
      </c>
      <c r="I32" s="15" t="n">
        <f aca="false">가정!$C$26</f>
        <v>200</v>
      </c>
      <c r="J32" s="15" t="n">
        <f aca="false">가정!$C$26</f>
        <v>200</v>
      </c>
      <c r="K32" s="15" t="n">
        <f aca="false">가정!$C$26</f>
        <v>200</v>
      </c>
      <c r="L32" s="15" t="n">
        <f aca="false">가정!$C$26</f>
        <v>200</v>
      </c>
      <c r="M32" s="15" t="n">
        <f aca="false">가정!$C$26</f>
        <v>200</v>
      </c>
      <c r="N32" s="15" t="n">
        <f aca="false">가정!$C$26</f>
        <v>200</v>
      </c>
      <c r="O32" s="18" t="s">
        <v>113</v>
      </c>
    </row>
    <row r="33" customFormat="false" ht="24" hidden="false" customHeight="true" outlineLevel="0" collapsed="false">
      <c r="A33" s="27" t="s">
        <v>114</v>
      </c>
      <c r="B33" s="14" t="s">
        <v>115</v>
      </c>
      <c r="C33" s="15" t="n">
        <f aca="false">C32*가정!$C$29/(1+가정!$C$28)</f>
        <v>20</v>
      </c>
      <c r="D33" s="15" t="n">
        <f aca="false">D32*가정!$C$29/(1+가정!$C$28)</f>
        <v>20</v>
      </c>
      <c r="E33" s="15" t="n">
        <f aca="false">E32*가정!$C$29/(1+가정!$C$28)</f>
        <v>20</v>
      </c>
      <c r="F33" s="15" t="n">
        <f aca="false">F32*가정!$C$29/(1+가정!$C$28)</f>
        <v>20</v>
      </c>
      <c r="G33" s="15" t="n">
        <f aca="false">G32*가정!$C$29/(1+가정!$C$28)</f>
        <v>20</v>
      </c>
      <c r="H33" s="15" t="n">
        <f aca="false">H32*가정!$C$29/(1+가정!$C$28)</f>
        <v>20</v>
      </c>
      <c r="I33" s="15" t="n">
        <f aca="false">I32*가정!$C$29/(1+가정!$C$28)</f>
        <v>20</v>
      </c>
      <c r="J33" s="15" t="n">
        <f aca="false">J32*가정!$C$29/(1+가정!$C$28)</f>
        <v>20</v>
      </c>
      <c r="K33" s="15" t="n">
        <f aca="false">K32*가정!$C$29/(1+가정!$C$28)</f>
        <v>20</v>
      </c>
      <c r="L33" s="15" t="n">
        <f aca="false">L32*가정!$C$29/(1+가정!$C$28)</f>
        <v>20</v>
      </c>
      <c r="M33" s="15" t="n">
        <f aca="false">M32*가정!$C$29/(1+가정!$C$28)</f>
        <v>20</v>
      </c>
      <c r="N33" s="15" t="n">
        <f aca="false">N32*가정!$C$29/(1+가정!$C$28)</f>
        <v>20</v>
      </c>
      <c r="O33" s="18" t="s">
        <v>116</v>
      </c>
    </row>
    <row r="34" customFormat="false" ht="24" hidden="false" customHeight="true" outlineLevel="0" collapsed="false">
      <c r="A34" s="14" t="s">
        <v>117</v>
      </c>
      <c r="B34" s="14" t="s">
        <v>118</v>
      </c>
      <c r="C34" s="15" t="n">
        <f aca="false">가정!$C$30/C32</f>
        <v>30</v>
      </c>
      <c r="D34" s="15" t="n">
        <f aca="false">가정!$C$30/D32</f>
        <v>30</v>
      </c>
      <c r="E34" s="15" t="n">
        <f aca="false">가정!$C$30/E32</f>
        <v>30</v>
      </c>
      <c r="F34" s="15" t="n">
        <f aca="false">가정!$C$30/F32</f>
        <v>30</v>
      </c>
      <c r="G34" s="15" t="n">
        <f aca="false">가정!$C$30/G32</f>
        <v>30</v>
      </c>
      <c r="H34" s="15" t="n">
        <f aca="false">가정!$C$30/H32</f>
        <v>30</v>
      </c>
      <c r="I34" s="15" t="n">
        <f aca="false">가정!$C$30/I32</f>
        <v>30</v>
      </c>
      <c r="J34" s="15" t="n">
        <f aca="false">가정!$C$30/J32</f>
        <v>30</v>
      </c>
      <c r="K34" s="15" t="n">
        <f aca="false">가정!$C$30/K32</f>
        <v>30</v>
      </c>
      <c r="L34" s="15" t="n">
        <f aca="false">가정!$C$30/L32</f>
        <v>30</v>
      </c>
      <c r="M34" s="15" t="n">
        <f aca="false">가정!$C$30/M32</f>
        <v>30</v>
      </c>
      <c r="N34" s="15" t="n">
        <f aca="false">가정!$C$30/N32</f>
        <v>30</v>
      </c>
      <c r="O34" s="18" t="s">
        <v>119</v>
      </c>
    </row>
    <row r="35" customFormat="false" ht="24" hidden="false" customHeight="true" outlineLevel="0" collapsed="false">
      <c r="A35" s="14" t="s">
        <v>120</v>
      </c>
      <c r="B35" s="14" t="s">
        <v>121</v>
      </c>
      <c r="C35" s="21" t="n">
        <f aca="false">표1_논문데이터!$N$5/표1_논문데이터!$L$5</f>
        <v>0.218706602109372</v>
      </c>
      <c r="D35" s="21" t="n">
        <f aca="false">표1_논문데이터!$N$6/표1_논문데이터!$L$6</f>
        <v>0.336899744227098</v>
      </c>
      <c r="E35" s="21" t="n">
        <f aca="false">표1_논문데이터!$N$7/표1_논문데이터!$L$7</f>
        <v>0.357676694867028</v>
      </c>
      <c r="F35" s="21" t="n">
        <f aca="false">표1_논문데이터!$N$8/표1_논문데이터!$L$8</f>
        <v>0.328917113763276</v>
      </c>
      <c r="G35" s="21" t="n">
        <f aca="false">표1_논문데이터!$N$9/표1_논문데이터!$L$9</f>
        <v>0.390419302864778</v>
      </c>
      <c r="H35" s="21" t="n">
        <f aca="false">표1_논문데이터!$N$10/표1_논문데이터!$L$10</f>
        <v>0.307143478639172</v>
      </c>
      <c r="I35" s="21" t="n">
        <f aca="false">표1_논문데이터!$N$11/표1_논문데이터!$L$11</f>
        <v>0.284158682519528</v>
      </c>
      <c r="J35" s="21" t="n">
        <f aca="false">표1_논문데이터!$N$12/표1_논문데이터!$L$12</f>
        <v>0.238709185230394</v>
      </c>
      <c r="K35" s="21" t="n">
        <f aca="false">표1_논문데이터!$N$13/표1_논문데이터!$L$13</f>
        <v>0.251646903820817</v>
      </c>
      <c r="L35" s="21" t="n">
        <f aca="false">표1_논문데이터!$N$14/표1_논문데이터!$L$14</f>
        <v>0.349407024043695</v>
      </c>
      <c r="M35" s="21" t="n">
        <f aca="false">표1_논문데이터!$N$15/표1_논문데이터!$L$15</f>
        <v>0.444402605716007</v>
      </c>
      <c r="N35" s="21" t="n">
        <f aca="false">표1_논문데이터!$N$16/표1_논문데이터!$L$16</f>
        <v>0.20375745847444</v>
      </c>
      <c r="O35" s="18" t="s">
        <v>122</v>
      </c>
    </row>
    <row r="36" customFormat="false" ht="24" hidden="false" customHeight="true" outlineLevel="0" collapsed="false">
      <c r="A36" s="14" t="s">
        <v>123</v>
      </c>
      <c r="B36" s="14" t="s">
        <v>95</v>
      </c>
      <c r="C36" s="22" t="n">
        <f aca="false">C25*C31</f>
        <v>0.651733333333334</v>
      </c>
      <c r="D36" s="22" t="n">
        <f aca="false">D25*D31</f>
        <v>0.360533333333333</v>
      </c>
      <c r="E36" s="22" t="n">
        <f aca="false">E25*E31</f>
        <v>0.360533333333333</v>
      </c>
      <c r="F36" s="22" t="n">
        <f aca="false">F25*F31</f>
        <v>0.1984</v>
      </c>
      <c r="G36" s="22" t="n">
        <f aca="false">G25*G31</f>
        <v>0.244266666666667</v>
      </c>
      <c r="H36" s="22" t="n">
        <f aca="false">H25*H31</f>
        <v>0.352</v>
      </c>
      <c r="I36" s="22" t="n">
        <f aca="false">I25*I31</f>
        <v>0.248533333333333</v>
      </c>
      <c r="J36" s="22" t="n">
        <f aca="false">J25*J31</f>
        <v>0.523733333333333</v>
      </c>
      <c r="K36" s="22" t="n">
        <f aca="false">K25*K31</f>
        <v>0.200533333333333</v>
      </c>
      <c r="L36" s="22" t="n">
        <f aca="false">L25*L31</f>
        <v>0.352</v>
      </c>
      <c r="M36" s="22" t="n">
        <f aca="false">M25*M31</f>
        <v>0.4128</v>
      </c>
      <c r="N36" s="22" t="n">
        <f aca="false">N25*N31</f>
        <v>0.629333333333333</v>
      </c>
      <c r="O36" s="18" t="s">
        <v>124</v>
      </c>
    </row>
    <row r="37" customFormat="false" ht="24" hidden="false" customHeight="true" outlineLevel="0" collapsed="false">
      <c r="A37" s="14" t="s">
        <v>125</v>
      </c>
      <c r="B37" s="14" t="s">
        <v>95</v>
      </c>
      <c r="C37" s="15" t="n">
        <f aca="false">C27*C31</f>
        <v>30.7982666666667</v>
      </c>
      <c r="D37" s="15" t="n">
        <f aca="false">D27*D31</f>
        <v>37.6794666666667</v>
      </c>
      <c r="E37" s="15" t="n">
        <f aca="false">E27*E31</f>
        <v>26.1494666666667</v>
      </c>
      <c r="F37" s="15" t="n">
        <f aca="false">F27*F31</f>
        <v>31.6216</v>
      </c>
      <c r="G37" s="15" t="n">
        <f aca="false">G27*G31</f>
        <v>31.2957333333333</v>
      </c>
      <c r="H37" s="15" t="n">
        <f aca="false">H27*H31</f>
        <v>23.868</v>
      </c>
      <c r="I37" s="15" t="n">
        <f aca="false">I27*I31</f>
        <v>31.4714666666667</v>
      </c>
      <c r="J37" s="15" t="n">
        <f aca="false">J27*J31</f>
        <v>21.3162666666667</v>
      </c>
      <c r="K37" s="15" t="n">
        <f aca="false">K27*K31</f>
        <v>14.3994666666667</v>
      </c>
      <c r="L37" s="15" t="n">
        <f aca="false">L27*L31</f>
        <v>21.298</v>
      </c>
      <c r="M37" s="15" t="n">
        <f aca="false">M27*M31</f>
        <v>30.7672</v>
      </c>
      <c r="N37" s="15" t="n">
        <f aca="false">N27*N31</f>
        <v>30.0906666666667</v>
      </c>
      <c r="O37" s="18" t="s">
        <v>126</v>
      </c>
    </row>
    <row r="38" customFormat="false" ht="24" hidden="false" customHeight="true" outlineLevel="0" collapsed="false">
      <c r="A38" s="14" t="s">
        <v>127</v>
      </c>
      <c r="B38" s="14" t="s">
        <v>51</v>
      </c>
      <c r="C38" s="15" t="n">
        <f aca="false">C37/C26</f>
        <v>25.6369771695848</v>
      </c>
      <c r="D38" s="15" t="n">
        <f aca="false">D37/D26</f>
        <v>28.1944584745593</v>
      </c>
      <c r="E38" s="15" t="n">
        <f aca="false">E37/E26</f>
        <v>20.5539210384945</v>
      </c>
      <c r="F38" s="15" t="n">
        <f aca="false">F37/F26</f>
        <v>26.2309337014465</v>
      </c>
      <c r="G38" s="15" t="n">
        <f aca="false">G37/G26</f>
        <v>23.8434923641569</v>
      </c>
      <c r="H38" s="15" t="n">
        <f aca="false">H37/H26</f>
        <v>20.7849999788898</v>
      </c>
      <c r="I38" s="15" t="n">
        <f aca="false">I37/I26</f>
        <v>22.2136723270311</v>
      </c>
      <c r="J38" s="15" t="n">
        <f aca="false">J37/J26</f>
        <v>18.4182648475458</v>
      </c>
      <c r="K38" s="15" t="n">
        <f aca="false">K37/K26</f>
        <v>10.9256682365006</v>
      </c>
      <c r="L38" s="15" t="n">
        <f aca="false">L37/L26</f>
        <v>17.3296999081553</v>
      </c>
      <c r="M38" s="15" t="n">
        <f aca="false">M37/M26</f>
        <v>26.6325513983402</v>
      </c>
      <c r="N38" s="15" t="n">
        <f aca="false">N37/N26</f>
        <v>23.3255126819447</v>
      </c>
      <c r="O38" s="18" t="s">
        <v>128</v>
      </c>
    </row>
    <row r="39" customFormat="false" ht="24" hidden="false" customHeight="true" outlineLevel="0" collapsed="false">
      <c r="A39" s="14" t="s">
        <v>129</v>
      </c>
      <c r="B39" s="14" t="s">
        <v>51</v>
      </c>
      <c r="C39" s="15" t="n">
        <f aca="false">1000*C37*C29/(C26-C37*C28)</f>
        <v>25.435569347471</v>
      </c>
      <c r="D39" s="15" t="n">
        <f aca="false">1000*D37*D29/(D26-D37*D28)</f>
        <v>27.9785527340547</v>
      </c>
      <c r="E39" s="15" t="n">
        <f aca="false">1000*E37*E29/(E26-E37*E28)</f>
        <v>20.4306529547854</v>
      </c>
      <c r="F39" s="15" t="n">
        <f aca="false">1000*F37*F29/(F26-F37*F28)</f>
        <v>26.0264462360074</v>
      </c>
      <c r="G39" s="15" t="n">
        <f aca="false">1000*G37*G29/(G26-G37*G28)</f>
        <v>23.68746757321</v>
      </c>
      <c r="H39" s="15" t="n">
        <f aca="false">1000*H37*H29/(H26-H37*H28)</f>
        <v>20.6459481931432</v>
      </c>
      <c r="I39" s="15" t="n">
        <f aca="false">1000*I37*I29/(I26-I37*I28)</f>
        <v>22.0855943157947</v>
      </c>
      <c r="J39" s="15" t="n">
        <f aca="false">1000*J37*J29/(J26-J37*J28)</f>
        <v>18.3107897727074</v>
      </c>
      <c r="K39" s="15" t="n">
        <f aca="false">1000*K37*K29/(K26-K37*K28)</f>
        <v>10.8921880399916</v>
      </c>
      <c r="L39" s="15" t="n">
        <f aca="false">1000*L37*L29/(L26-L37*L28)</f>
        <v>17.2384818095946</v>
      </c>
      <c r="M39" s="15" t="n">
        <f aca="false">1000*M37*M29/(M26-M37*M28)</f>
        <v>26.4060966623283</v>
      </c>
      <c r="N39" s="15" t="n">
        <f aca="false">1000*N37*N29/(N26-N37*N28)</f>
        <v>23.1702388218953</v>
      </c>
      <c r="O39" s="18" t="s">
        <v>130</v>
      </c>
    </row>
    <row r="40" customFormat="false" ht="24" hidden="false" customHeight="true" outlineLevel="0" collapsed="false">
      <c r="A40" s="14" t="s">
        <v>131</v>
      </c>
      <c r="B40" s="14" t="s">
        <v>132</v>
      </c>
      <c r="C40" s="15" t="n">
        <f aca="false">IF(C5&lt;200,1000,1/(C28*C5/1000+C29))</f>
        <v>1000</v>
      </c>
      <c r="D40" s="15" t="n">
        <f aca="false">IF(D5&lt;200,1000,1/(D28*D5/1000+D29))</f>
        <v>1000</v>
      </c>
      <c r="E40" s="15" t="n">
        <f aca="false">IF(E5&lt;200,1000,1/(E28*E5/1000+E29))</f>
        <v>1000</v>
      </c>
      <c r="F40" s="15" t="n">
        <f aca="false">IF(F5&lt;200,1000,1/(F28*F5/1000+F29))</f>
        <v>1000</v>
      </c>
      <c r="G40" s="15" t="n">
        <f aca="false">IF(G5&lt;200,1000,1/(G28*G5/1000+G29))</f>
        <v>1000</v>
      </c>
      <c r="H40" s="15" t="n">
        <f aca="false">IF(H5&lt;200,1000,1/(H28*H5/1000+H29))</f>
        <v>1000</v>
      </c>
      <c r="I40" s="15" t="n">
        <f aca="false">IF(I5&lt;200,1000,1/(I28*I5/1000+I29))</f>
        <v>1000</v>
      </c>
      <c r="J40" s="15" t="n">
        <f aca="false">IF(J5&lt;200,1000,1/(J28*J5/1000+J29))</f>
        <v>1000</v>
      </c>
      <c r="K40" s="15" t="n">
        <f aca="false">IF(K5&lt;200,1000,1/(K28*K5/1000+K29))</f>
        <v>1000</v>
      </c>
      <c r="L40" s="15" t="n">
        <f aca="false">IF(L5&lt;200,1000,1/(L28*L5/1000+L29))</f>
        <v>1000</v>
      </c>
      <c r="M40" s="15" t="n">
        <f aca="false">IF(M5&lt;200,1000,1/(M28*M5/1000+M29))</f>
        <v>1000</v>
      </c>
      <c r="N40" s="15" t="n">
        <f aca="false">IF(N5&lt;200,1000,1/(N28*N5/1000+N29))</f>
        <v>1000</v>
      </c>
      <c r="O40" s="18" t="s">
        <v>133</v>
      </c>
    </row>
    <row r="41" customFormat="false" ht="24" hidden="false" customHeight="true" outlineLevel="0" collapsed="false">
      <c r="A41" s="14" t="s">
        <v>134</v>
      </c>
      <c r="B41" s="14" t="s">
        <v>132</v>
      </c>
      <c r="C41" s="15" t="n">
        <f aca="false">C5*C40/1000*(1-C17)</f>
        <v>23.1009000940431</v>
      </c>
      <c r="D41" s="15" t="n">
        <f aca="false">D5*D40/1000*(1-D17)</f>
        <v>25.1717379733074</v>
      </c>
      <c r="E41" s="15" t="n">
        <f aca="false">E5*E40/1000*(1-E17)</f>
        <v>18.9055096094897</v>
      </c>
      <c r="F41" s="15" t="n">
        <f aca="false">F5*F40/1000*(1-F17)</f>
        <v>22.0351417690585</v>
      </c>
      <c r="G41" s="15" t="n">
        <f aca="false">G5*G40/1000*(1-G17)</f>
        <v>20.6319749998845</v>
      </c>
      <c r="H41" s="15" t="n">
        <f aca="false">H5*H40/1000*(1-H17)</f>
        <v>17.8646048117132</v>
      </c>
      <c r="I41" s="15" t="n">
        <f aca="false">I5*I40/1000*(1-I17)</f>
        <v>21.0861601710379</v>
      </c>
      <c r="J41" s="15" t="n">
        <f aca="false">J5*J40/1000*(1-J17)</f>
        <v>15.713957476118</v>
      </c>
      <c r="K41" s="15" t="n">
        <f aca="false">K5*K40/1000*(1-K17)</f>
        <v>10.2896444874858</v>
      </c>
      <c r="L41" s="15" t="n">
        <f aca="false">L5*L40/1000*(1-L17)</f>
        <v>15.7770088159634</v>
      </c>
      <c r="M41" s="15" t="n">
        <f aca="false">M5*M40/1000*(1-M17)</f>
        <v>23.6676992273158</v>
      </c>
      <c r="N41" s="15" t="n">
        <f aca="false">N5*N40/1000*(1-N17)</f>
        <v>21.4555348719997</v>
      </c>
      <c r="O41" s="18" t="s">
        <v>135</v>
      </c>
    </row>
    <row r="42" customFormat="false" ht="24" hidden="false" customHeight="true" outlineLevel="0" collapsed="false">
      <c r="A42" s="14" t="s">
        <v>136</v>
      </c>
      <c r="B42" s="14" t="s">
        <v>137</v>
      </c>
      <c r="C42" s="22" t="n">
        <f aca="false">C32*C41/가정!$C$30</f>
        <v>0.77003000313477</v>
      </c>
      <c r="D42" s="22" t="n">
        <f aca="false">D32*D41/가정!$C$30</f>
        <v>0.839057932443581</v>
      </c>
      <c r="E42" s="22" t="n">
        <f aca="false">E32*E41/가정!$C$30</f>
        <v>0.630183653649656</v>
      </c>
      <c r="F42" s="22" t="n">
        <f aca="false">F32*F41/가정!$C$30</f>
        <v>0.734504725635283</v>
      </c>
      <c r="G42" s="22" t="n">
        <f aca="false">G32*G41/가정!$C$30</f>
        <v>0.687732499996149</v>
      </c>
      <c r="H42" s="22" t="n">
        <f aca="false">H32*H41/가정!$C$30</f>
        <v>0.595486827057105</v>
      </c>
      <c r="I42" s="22" t="n">
        <f aca="false">I32*I41/가정!$C$30</f>
        <v>0.702872005701262</v>
      </c>
      <c r="J42" s="22" t="n">
        <f aca="false">J32*J41/가정!$C$30</f>
        <v>0.523798582537266</v>
      </c>
      <c r="K42" s="22" t="n">
        <f aca="false">K32*K41/가정!$C$30</f>
        <v>0.34298814958286</v>
      </c>
      <c r="L42" s="22" t="n">
        <f aca="false">L32*L41/가정!$C$30</f>
        <v>0.525900293865446</v>
      </c>
      <c r="M42" s="22" t="n">
        <f aca="false">M32*M41/가정!$C$30</f>
        <v>0.788923307577193</v>
      </c>
      <c r="N42" s="22" t="n">
        <f aca="false">N32*N41/가정!$C$30</f>
        <v>0.715184495733324</v>
      </c>
      <c r="O42" s="18" t="s">
        <v>138</v>
      </c>
    </row>
    <row r="43" customFormat="false" ht="24" hidden="false" customHeight="true" outlineLevel="0" collapsed="false">
      <c r="A43" s="14" t="s">
        <v>139</v>
      </c>
      <c r="B43" s="14" t="s">
        <v>18</v>
      </c>
      <c r="C43" s="21" t="n">
        <f aca="false">표1_논문데이터!$L$5/1000/가정!$C$4/(1-가정!$C$3)</f>
        <v>0.809355140527601</v>
      </c>
      <c r="D43" s="21" t="n">
        <f aca="false">표1_논문데이터!$L$6/1000/가정!$C$4/(1-가정!$C$3)</f>
        <v>0.843256740828949</v>
      </c>
      <c r="E43" s="21" t="n">
        <f aca="false">표1_논문데이터!$L$7/1000/가정!$C$4/(1-가정!$C$3)</f>
        <v>0.800727851562025</v>
      </c>
      <c r="F43" s="21" t="n">
        <f aca="false">표1_논문데이터!$L$8/1000/가정!$C$4/(1-가정!$C$3)</f>
        <v>0.83232074073174</v>
      </c>
      <c r="G43" s="21" t="n">
        <f aca="false">표1_논문데이터!$L$9/1000/가정!$C$4/(1-가정!$C$3)</f>
        <v>0.773023317982429</v>
      </c>
      <c r="H43" s="21" t="n">
        <f aca="false">표1_논문데이터!$L$10/1000/가정!$C$4/(1-가정!$C$3)</f>
        <v>0.698263606206788</v>
      </c>
      <c r="I43" s="21" t="n">
        <f aca="false">표1_논문데이터!$L$11/1000/가정!$C$4/(1-가정!$C$3)</f>
        <v>0.789488073684339</v>
      </c>
      <c r="J43" s="21" t="n">
        <f aca="false">표1_논문데이터!$L$12/1000/가정!$C$4/(1-가정!$C$3)</f>
        <v>0.79638382930119</v>
      </c>
      <c r="K43" s="21" t="n">
        <f aca="false">표1_논문데이터!$L$13/1000/가정!$C$4/(1-가정!$C$3)</f>
        <v>0.783928940301591</v>
      </c>
      <c r="L43" s="21" t="n">
        <f aca="false">표1_논문데이터!$L$14/1000/가정!$C$4/(1-가정!$C$3)</f>
        <v>0.79533579595854</v>
      </c>
      <c r="M43" s="21" t="n">
        <f aca="false">표1_논문데이터!$L$15/1000/가정!$C$4/(1-가정!$C$3)</f>
        <v>0.80674265161549</v>
      </c>
      <c r="N43" s="21" t="n">
        <f aca="false">표1_논문데이터!$L$16/1000/가정!$C$4/(1-가정!$C$3)</f>
        <v>0.753490406697693</v>
      </c>
      <c r="O43" s="18" t="s">
        <v>140</v>
      </c>
    </row>
    <row r="44" customFormat="false" ht="24" hidden="false" customHeight="true" outlineLevel="0" collapsed="false">
      <c r="A44" s="14" t="s">
        <v>141</v>
      </c>
      <c r="B44" s="14" t="s">
        <v>18</v>
      </c>
      <c r="C44" s="21" t="n">
        <f aca="false">MIN(0.5,MAX(0,1-(표1_논문데이터!$J$5*C43-C25)/C27))</f>
        <v>0.194679164749757</v>
      </c>
      <c r="D44" s="21" t="n">
        <f aca="false">MIN(0.5,MAX(0,1-(표1_논문데이터!$J$6*D43-D25)/D27))</f>
        <v>0.158243046049841</v>
      </c>
      <c r="E44" s="21" t="n">
        <f aca="false">MIN(0.5,MAX(0,1-(표1_논문데이터!$J$7*E43-E25)/E27))</f>
        <v>0.202019594603231</v>
      </c>
      <c r="F44" s="21" t="n">
        <f aca="false">MIN(0.5,MAX(0,1-(표1_논문데이터!$J$8*F43-F25)/F27))</f>
        <v>0.168731311189694</v>
      </c>
      <c r="G44" s="21" t="n">
        <f aca="false">MIN(0.5,MAX(0,1-(표1_논문데이터!$J$9*G43-G25)/G27))</f>
        <v>0.228748260172873</v>
      </c>
      <c r="H44" s="21" t="n">
        <f aca="false">MIN(0.5,MAX(0,1-(표1_논문데이터!$J$10*H43-H25)/H27))</f>
        <v>0.306186335582018</v>
      </c>
      <c r="I44" s="21" t="n">
        <f aca="false">MIN(0.5,MAX(0,1-(표1_논문데이터!$J$11*I43-I25)/I27))</f>
        <v>0.212174360142079</v>
      </c>
      <c r="J44" s="21" t="n">
        <f aca="false">MIN(0.5,MAX(0,1-(표1_논문데이터!$J$12*J43-J25)/J27))</f>
        <v>0.208618949912837</v>
      </c>
      <c r="K44" s="21" t="n">
        <f aca="false">MIN(0.5,MAX(0,1-(표1_논문데이터!$J$13*K43-K25)/K27))</f>
        <v>0.219080160718692</v>
      </c>
      <c r="L44" s="21" t="n">
        <f aca="false">MIN(0.5,MAX(0,1-(표1_논문데이터!$J$14*L43-L25)/L27))</f>
        <v>0.208046765776017</v>
      </c>
      <c r="M44" s="21" t="n">
        <f aca="false">MIN(0.5,MAX(0,1-(표1_논문데이터!$J$15*M43-M25)/M27))</f>
        <v>0.19585026010261</v>
      </c>
      <c r="N44" s="21" t="n">
        <f aca="false">MIN(0.5,MAX(0,1-(표1_논문데이터!$J$16*N43-N25)/N27))</f>
        <v>0.251665235274954</v>
      </c>
      <c r="O44" s="18" t="s">
        <v>142</v>
      </c>
    </row>
    <row r="45" customFormat="false" ht="24" hidden="false" customHeight="true" outlineLevel="0" collapsed="false">
      <c r="A45" s="14" t="s">
        <v>143</v>
      </c>
      <c r="B45" s="14" t="s">
        <v>95</v>
      </c>
      <c r="C45" s="15" t="n">
        <f aca="false">C5/1000*C40*C14*C10/가정!$C$7</f>
        <v>0.875075487388494</v>
      </c>
      <c r="D45" s="15" t="n">
        <f aca="false">D5/1000*D40*D14*D10/가정!$C$7</f>
        <v>0.962370849264959</v>
      </c>
      <c r="E45" s="15" t="n">
        <f aca="false">E5/1000*E40*E14*E10/가정!$C$7</f>
        <v>0.701573838113944</v>
      </c>
      <c r="F45" s="15" t="n">
        <f aca="false">F5/1000*F40*F14*F10/가정!$C$7</f>
        <v>0.895349203676041</v>
      </c>
      <c r="G45" s="15" t="n">
        <f aca="false">G5/1000*G40*G14*G10/가정!$C$7</f>
        <v>0.813857872696555</v>
      </c>
      <c r="H45" s="15" t="n">
        <f aca="false">H5/1000*H40*H14*H10/가정!$C$7</f>
        <v>0.709461332612771</v>
      </c>
      <c r="I45" s="15" t="n">
        <f aca="false">I5/1000*I40*I14*I10/가정!$C$7</f>
        <v>0.758226682095996</v>
      </c>
      <c r="J45" s="15" t="n">
        <f aca="false">J5/1000*J40*J14*J10/가정!$C$7</f>
        <v>0.628676773462896</v>
      </c>
      <c r="K45" s="15" t="n">
        <f aca="false">K5/1000*K40*K14*K10/가정!$C$7</f>
        <v>0.372929475805887</v>
      </c>
      <c r="L45" s="15" t="n">
        <f aca="false">L5/1000*L40*L14*L10/가정!$C$7</f>
        <v>0.591520423531701</v>
      </c>
      <c r="M45" s="15" t="n">
        <f aca="false">M5/1000*M40*M14*M10/가정!$C$7</f>
        <v>0.90905775439668</v>
      </c>
      <c r="N45" s="15" t="n">
        <f aca="false">N5/1000*N40*N14*N10/가정!$C$7</f>
        <v>0.796177499543712</v>
      </c>
      <c r="O45" s="18" t="s">
        <v>144</v>
      </c>
    </row>
    <row r="46" customFormat="false" ht="24" hidden="false" customHeight="true" outlineLevel="0" collapsed="false">
      <c r="A46" s="14" t="s">
        <v>145</v>
      </c>
      <c r="B46" s="14" t="s">
        <v>95</v>
      </c>
      <c r="C46" s="15" t="n">
        <f aca="false">C5/1000*C40*C26</f>
        <v>30.7982666666667</v>
      </c>
      <c r="D46" s="15" t="n">
        <f aca="false">D5/1000*D40*D26</f>
        <v>37.6794666666667</v>
      </c>
      <c r="E46" s="15" t="n">
        <f aca="false">E5/1000*E40*E26</f>
        <v>26.1494666666667</v>
      </c>
      <c r="F46" s="15" t="n">
        <f aca="false">F5/1000*F40*F26</f>
        <v>31.6216</v>
      </c>
      <c r="G46" s="15" t="n">
        <f aca="false">G5/1000*G40*G26</f>
        <v>31.2957333333333</v>
      </c>
      <c r="H46" s="15" t="n">
        <f aca="false">H5/1000*H40*H26</f>
        <v>23.868</v>
      </c>
      <c r="I46" s="15" t="n">
        <f aca="false">I5/1000*I40*I26</f>
        <v>31.4714666666667</v>
      </c>
      <c r="J46" s="15" t="n">
        <f aca="false">J5/1000*J40*J26</f>
        <v>21.3162666666667</v>
      </c>
      <c r="K46" s="15" t="n">
        <f aca="false">K5/1000*K40*K26</f>
        <v>14.3994666666667</v>
      </c>
      <c r="L46" s="15" t="n">
        <f aca="false">L5/1000*L40*L26</f>
        <v>21.298</v>
      </c>
      <c r="M46" s="15" t="n">
        <f aca="false">M5/1000*M40*M26</f>
        <v>30.7672</v>
      </c>
      <c r="N46" s="15" t="n">
        <f aca="false">N5/1000*N40*N26</f>
        <v>30.0906666666667</v>
      </c>
      <c r="O46" s="18" t="s">
        <v>146</v>
      </c>
    </row>
    <row r="47" customFormat="false" ht="24" hidden="false" customHeight="true" outlineLevel="0" collapsed="false">
      <c r="A47" s="14" t="s">
        <v>147</v>
      </c>
      <c r="B47" s="14" t="s">
        <v>95</v>
      </c>
      <c r="C47" s="15" t="n">
        <f aca="false">C5/1000*C40*((1-C14-C15-C16-C17)+C14*C10)/가정!$C$7</f>
        <v>13.0701009102515</v>
      </c>
      <c r="D47" s="15" t="n">
        <f aca="false">D5/1000*D40*((1-D14-D15-D16-D17)+D14*D10)/가정!$C$7</f>
        <v>10.4751839545072</v>
      </c>
      <c r="E47" s="15" t="n">
        <f aca="false">E5/1000*E40*((1-E14-E15-E16-E17)+E14*E10)/가정!$C$7</f>
        <v>11.4381350568503</v>
      </c>
      <c r="F47" s="15" t="n">
        <f aca="false">F5/1000*F40*((1-F14-F15-F16-F17)+F14*F10)/가정!$C$7</f>
        <v>5.81202873246149</v>
      </c>
      <c r="G47" s="15" t="n">
        <f aca="false">G5/1000*G40*((1-G14-G15-G16-G17)+G14*G10)/가정!$C$7</f>
        <v>6.29753330778946</v>
      </c>
      <c r="H47" s="15" t="n">
        <f aca="false">H5/1000*H40*((1-H14-H15-H16-H17)+H14*H10)/가정!$C$7</f>
        <v>12.2678329628787</v>
      </c>
      <c r="I47" s="15" t="n">
        <f aca="false">I5/1000*I40*((1-I14-I15-I16-I17)+I14*I10)/가정!$C$7</f>
        <v>13.1301489863172</v>
      </c>
      <c r="J47" s="15" t="n">
        <f aca="false">J5/1000*J40*((1-J14-J15-J16-J17)+J14*J10)/가정!$C$7</f>
        <v>8.54878228726967</v>
      </c>
      <c r="K47" s="15" t="n">
        <f aca="false">K5/1000*K40*((1-K14-K15-K16-K17)+K14*K10)/가정!$C$7</f>
        <v>5.60311481932067</v>
      </c>
      <c r="L47" s="15" t="n">
        <f aca="false">L5/1000*L40*((1-L14-L15-L16-L17)+L14*L10)/가정!$C$7</f>
        <v>10.57038860333</v>
      </c>
      <c r="M47" s="15" t="n">
        <f aca="false">M5/1000*M40*((1-M14-M15-M16-M17)+M14*M10)/가정!$C$7</f>
        <v>16.0056215381091</v>
      </c>
      <c r="N47" s="15" t="n">
        <f aca="false">N5/1000*N40*((1-N14-N15-N16-N17)+N14*N10)/가정!$C$7</f>
        <v>11.0264914701443</v>
      </c>
      <c r="O47" s="18" t="s">
        <v>148</v>
      </c>
    </row>
    <row r="48" customFormat="false" ht="24" hidden="false" customHeight="true" outlineLevel="0" collapsed="false">
      <c r="A48" s="14" t="s">
        <v>149</v>
      </c>
      <c r="B48" s="14" t="s">
        <v>95</v>
      </c>
      <c r="C48" s="15" t="n">
        <f aca="false">C5/1000*C40*C15/가정!$C$8</f>
        <v>10.5202263484118</v>
      </c>
      <c r="D48" s="15" t="n">
        <f aca="false">D5/1000*D40*D15/가정!$C$8</f>
        <v>13.3147300655085</v>
      </c>
      <c r="E48" s="15" t="n">
        <f aca="false">E5/1000*E40*E15/가정!$C$8</f>
        <v>6.82074422441646</v>
      </c>
      <c r="F48" s="15" t="n">
        <f aca="false">F5/1000*F40*F15/가정!$C$8</f>
        <v>17.386569979102</v>
      </c>
      <c r="G48" s="15" t="n">
        <f aca="false">G5/1000*G40*G15/가정!$C$8</f>
        <v>13.7324249320586</v>
      </c>
      <c r="H48" s="15" t="n">
        <f aca="false">H5/1000*H40*H15/가정!$C$8</f>
        <v>5.08503875328236</v>
      </c>
      <c r="I48" s="15" t="n">
        <f aca="false">I5/1000*I40*I15/가정!$C$8</f>
        <v>5.22520282418299</v>
      </c>
      <c r="J48" s="15" t="n">
        <f aca="false">J5/1000*J40*J15/가정!$C$8</f>
        <v>7.31259655041685</v>
      </c>
      <c r="K48" s="15" t="n">
        <f aca="false">K5/1000*K40*K15/가정!$C$8</f>
        <v>4.4425300656932</v>
      </c>
      <c r="L48" s="15" t="n">
        <f aca="false">L5/1000*L40*L15/가정!$C$8</f>
        <v>4.69680084063647</v>
      </c>
      <c r="M48" s="15" t="n">
        <f aca="false">M5/1000*M40*M15/가정!$C$8</f>
        <v>7.79235133557049</v>
      </c>
      <c r="N48" s="15" t="n">
        <f aca="false">N5/1000*N40*N15/가정!$C$8</f>
        <v>10.1092844633453</v>
      </c>
      <c r="O48" s="18" t="s">
        <v>150</v>
      </c>
    </row>
    <row r="49" customFormat="false" ht="24" hidden="false" customHeight="true" outlineLevel="0" collapsed="false">
      <c r="A49" s="14" t="s">
        <v>151</v>
      </c>
      <c r="B49" s="14" t="s">
        <v>95</v>
      </c>
      <c r="C49" s="15" t="n">
        <f aca="false">C5/1000*C40*C16/가정!$C$9</f>
        <v>7.20793940800336</v>
      </c>
      <c r="D49" s="15" t="n">
        <f aca="false">D5/1000*D40*D16/가정!$C$9</f>
        <v>13.8895526466509</v>
      </c>
      <c r="E49" s="15" t="n">
        <f aca="false">E5/1000*E40*E16/가정!$C$9</f>
        <v>7.89058738539992</v>
      </c>
      <c r="F49" s="15" t="n">
        <f aca="false">F5/1000*F40*F16/가정!$C$9</f>
        <v>8.42300128843653</v>
      </c>
      <c r="G49" s="15" t="n">
        <f aca="false">G5/1000*G40*G16/가정!$C$9</f>
        <v>11.2657750934853</v>
      </c>
      <c r="H49" s="15" t="n">
        <f aca="false">H5/1000*H40*H16/가정!$C$9</f>
        <v>6.51512828383897</v>
      </c>
      <c r="I49" s="15" t="n">
        <f aca="false">I5/1000*I40*I16/가정!$C$9</f>
        <v>13.1161148561665</v>
      </c>
      <c r="J49" s="15" t="n">
        <f aca="false">J5/1000*J40*J16/가정!$C$9</f>
        <v>5.45488782898015</v>
      </c>
      <c r="K49" s="15" t="n">
        <f aca="false">K5/1000*K40*K16/가정!$C$9</f>
        <v>4.3538217816528</v>
      </c>
      <c r="L49" s="15" t="n">
        <f aca="false">L5/1000*L40*L16/가정!$C$9</f>
        <v>6.03081055603357</v>
      </c>
      <c r="M49" s="15" t="n">
        <f aca="false">M5/1000*M40*M16/가정!$C$9</f>
        <v>6.96922712632037</v>
      </c>
      <c r="N49" s="15" t="n">
        <f aca="false">N5/1000*N40*N16/가정!$C$9</f>
        <v>8.95489073317706</v>
      </c>
      <c r="O49" s="18" t="s">
        <v>152</v>
      </c>
    </row>
    <row r="50" customFormat="false" ht="24" hidden="false" customHeight="true" outlineLevel="0" collapsed="false">
      <c r="A50" s="14" t="s">
        <v>153</v>
      </c>
      <c r="B50" s="14" t="s">
        <v>18</v>
      </c>
      <c r="C50" s="21" t="n">
        <f aca="false">(C47+C48+C49)/(C47/가정!$C$19+C48/가정!$C$20+C49/가정!$C$21)</f>
        <v>0.597359578554448</v>
      </c>
      <c r="D50" s="21" t="n">
        <f aca="false">(D47+D48+D49)/(D47/가정!$C$19+D48/가정!$C$20+D49/가정!$C$21)</f>
        <v>0.626640475692154</v>
      </c>
      <c r="E50" s="21" t="n">
        <f aca="false">(E47+E48+E49)/(E47/가정!$C$19+E48/가정!$C$20+E49/가정!$C$21)</f>
        <v>0.593136542301631</v>
      </c>
      <c r="F50" s="21" t="n">
        <f aca="false">(F47+F48+F49)/(F47/가정!$C$19+F48/가정!$C$20+F49/가정!$C$21)</f>
        <v>0.65200585745775</v>
      </c>
      <c r="G50" s="21" t="n">
        <f aca="false">(G47+G48+G49)/(G47/가정!$C$19+G48/가정!$C$20+G49/가정!$C$21)</f>
        <v>0.645221946273422</v>
      </c>
      <c r="H50" s="21" t="n">
        <f aca="false">(H47+H48+H49)/(H47/가정!$C$19+H48/가정!$C$20+H49/가정!$C$21)</f>
        <v>0.578214996433359</v>
      </c>
      <c r="I50" s="21" t="n">
        <f aca="false">(I47+I48+I49)/(I47/가정!$C$19+I48/가정!$C$20+I49/가정!$C$21)</f>
        <v>0.594832194418309</v>
      </c>
      <c r="J50" s="21" t="n">
        <f aca="false">(J47+J48+J49)/(J47/가정!$C$19+J48/가정!$C$20+J49/가정!$C$21)</f>
        <v>0.601833274424873</v>
      </c>
      <c r="K50" s="21" t="n">
        <f aca="false">(K47+K48+K49)/(K47/가정!$C$19+K48/가정!$C$20+K49/가정!$C$21)</f>
        <v>0.603346630841674</v>
      </c>
      <c r="L50" s="21" t="n">
        <f aca="false">(L47+L48+L49)/(L47/가정!$C$19+L48/가정!$C$20+L49/가정!$C$21)</f>
        <v>0.581518078020588</v>
      </c>
      <c r="M50" s="21" t="n">
        <f aca="false">(M47+M48+M49)/(M47/가정!$C$19+M48/가정!$C$20+M49/가정!$C$21)</f>
        <v>0.577947890708038</v>
      </c>
      <c r="N50" s="21" t="n">
        <f aca="false">(N47+N48+N49)/(N47/가정!$C$19+N48/가정!$C$20+N49/가정!$C$21)</f>
        <v>0.608379343783678</v>
      </c>
      <c r="O50" s="18" t="s">
        <v>154</v>
      </c>
    </row>
    <row r="51" customFormat="false" ht="24" hidden="false" customHeight="true" outlineLevel="0" collapsed="false">
      <c r="A51" s="14" t="s">
        <v>155</v>
      </c>
      <c r="B51" s="14" t="s">
        <v>18</v>
      </c>
      <c r="C51" s="21" t="n">
        <f aca="false">(C31*표1_논문데이터!$K$5-C36-C13*C46)/(C46*(1-C44)-C45)</f>
        <v>0.262446832522654</v>
      </c>
      <c r="D51" s="21" t="n">
        <f aca="false">(D31*표1_논문데이터!$K$6-D36-D13*D46)/(D46*(1-D44)-D45)</f>
        <v>0.23189917148156</v>
      </c>
      <c r="E51" s="21" t="n">
        <f aca="false">(E31*표1_논문데이터!$K$7-E36-E13*E46)/(E46*(1-E44)-E45)</f>
        <v>0.364914279582764</v>
      </c>
      <c r="F51" s="21" t="n">
        <f aca="false">(F31*표1_논문데이터!$K$8-F36-F13*F46)/(F46*(1-F44)-F45)</f>
        <v>0.320711245734751</v>
      </c>
      <c r="G51" s="21" t="n">
        <f aca="false">(G31*표1_논문데이터!$K$9-G36-G13*G46)/(G46*(1-G44)-G45)</f>
        <v>0.297536449839029</v>
      </c>
      <c r="H51" s="21" t="n">
        <f aca="false">(H31*표1_논문데이터!$K$10-H36-H13*H46)/(H46*(1-H44)-H45)</f>
        <v>1.03416288937248</v>
      </c>
      <c r="I51" s="21" t="n">
        <f aca="false">(I31*표1_논문데이터!$K$11-I36-I13*I46)/(I46*(1-I44)-I45)</f>
        <v>0.717914639482482</v>
      </c>
      <c r="J51" s="21" t="n">
        <f aca="false">(J31*표1_논문데이터!$K$12-J36-J13*J46)/(J46*(1-J44)-J45)</f>
        <v>0.984195683653913</v>
      </c>
      <c r="K51" s="21" t="n">
        <f aca="false">(K31*표1_논문데이터!$K$13-K36-K13*K46)/(K46*(1-K44)-K45)</f>
        <v>0.891097332845609</v>
      </c>
      <c r="L51" s="21" t="n">
        <f aca="false">(L31*표1_논문데이터!$K$14-L36-L13*L46)/(L46*(1-L44)-L45)</f>
        <v>0.919849286750922</v>
      </c>
      <c r="M51" s="21" t="n">
        <f aca="false">(M31*표1_논문데이터!$K$15-M36-M13*M46)/(M46*(1-M44)-M45)</f>
        <v>0.284428684546135</v>
      </c>
      <c r="N51" s="21" t="n">
        <f aca="false">(N31*표1_논문데이터!$K$16-N36-N13*N46)/(N46*(1-N44)-N45)</f>
        <v>0.44270945779034</v>
      </c>
      <c r="O51" s="18" t="s">
        <v>156</v>
      </c>
    </row>
    <row r="52" customFormat="false" ht="24" hidden="false" customHeight="true" outlineLevel="0" collapsed="false">
      <c r="A52" s="14" t="s">
        <v>157</v>
      </c>
      <c r="B52" s="14" t="s">
        <v>18</v>
      </c>
      <c r="C52" s="22" t="n">
        <f aca="false">표1_논문데이터!$K$5/표1_논문데이터!$J$5</f>
        <v>0.283942766295707</v>
      </c>
      <c r="D52" s="22" t="n">
        <f aca="false">표1_논문데이터!$K$6/표1_논문데이터!$J$6</f>
        <v>0.249211356466877</v>
      </c>
      <c r="E52" s="22" t="n">
        <f aca="false">표1_논문데이터!$K$7/표1_논문데이터!$J$7</f>
        <v>0.357600905318748</v>
      </c>
      <c r="F52" s="22" t="n">
        <f aca="false">표1_논문데이터!$K$8/표1_논문데이터!$J$8</f>
        <v>0.31803896920176</v>
      </c>
      <c r="G52" s="22" t="n">
        <f aca="false">표1_논문데이터!$K$9/표1_논문데이터!$J$9</f>
        <v>0.303424223208624</v>
      </c>
      <c r="H52" s="22" t="n">
        <f aca="false">표1_논문데이터!$K$10/표1_논문데이터!$J$10</f>
        <v>0.791907514450867</v>
      </c>
      <c r="I52" s="22" t="n">
        <f aca="false">표1_논문데이터!$K$11/표1_논문데이터!$J$11</f>
        <v>0.622005044136192</v>
      </c>
      <c r="J52" s="22" t="n">
        <f aca="false">표1_논문데이터!$K$12/표1_논문데이터!$J$12</f>
        <v>0.823717948717949</v>
      </c>
      <c r="K52" s="22" t="n">
        <f aca="false">표1_논문데이터!$K$13/표1_논문데이터!$J$13</f>
        <v>0.749315068493151</v>
      </c>
      <c r="L52" s="22" t="n">
        <f aca="false">표1_논문데이터!$K$14/표1_논문데이터!$J$14</f>
        <v>0.775981524249423</v>
      </c>
      <c r="M52" s="22" t="n">
        <f aca="false">표1_논문데이터!$K$15/표1_논문데이터!$J$15</f>
        <v>0.295060936497755</v>
      </c>
      <c r="N52" s="22" t="n">
        <f aca="false">표1_논문데이터!$K$16/표1_논문데이터!$J$16</f>
        <v>0.415690104166667</v>
      </c>
      <c r="O52" s="18" t="s">
        <v>158</v>
      </c>
    </row>
    <row r="53" customFormat="false" ht="24" hidden="false" customHeight="true" outlineLevel="0" collapsed="false">
      <c r="A53" s="14" t="s">
        <v>159</v>
      </c>
      <c r="B53" s="14" t="s">
        <v>86</v>
      </c>
      <c r="C53" s="15" t="n">
        <f aca="false">MAX(0,C21/가정!$C$23*1000*(가정!$C$22/(가정!$C$22+10^-C19)-가정!$C$22/(가정!$C$22+10^-가정!$C$24)))</f>
        <v>7.49697593423936</v>
      </c>
      <c r="D53" s="15" t="n">
        <f aca="false">MAX(0,D21/가정!$C$23*1000*(가정!$C$22/(가정!$C$22+10^-D19)-가정!$C$22/(가정!$C$22+10^-가정!$C$24)))</f>
        <v>4.14726328277071</v>
      </c>
      <c r="E53" s="15" t="n">
        <f aca="false">MAX(0,E21/가정!$C$23*1000*(가정!$C$22/(가정!$C$22+10^-E19)-가정!$C$22/(가정!$C$22+10^-가정!$C$24)))</f>
        <v>4.14726328277071</v>
      </c>
      <c r="F53" s="15" t="n">
        <f aca="false">MAX(0,F21/가정!$C$23*1000*(가정!$C$22/(가정!$C$22+10^-F19)-가정!$C$22/(가정!$C$22+10^-가정!$C$24)))</f>
        <v>2.28222180649512</v>
      </c>
      <c r="G53" s="15" t="n">
        <f aca="false">MAX(0,G21/가정!$C$23*1000*(가정!$C$22/(가정!$C$22+10^-G19)-가정!$C$22/(가정!$C$22+10^-가정!$C$24)))</f>
        <v>2.80983222412572</v>
      </c>
      <c r="H53" s="15" t="n">
        <f aca="false">MAX(0,H21/가정!$C$23*1000*(가정!$C$22/(가정!$C$22+10^-H19)-가정!$C$22/(가정!$C$22+10^-가정!$C$24)))</f>
        <v>4.04910320507199</v>
      </c>
      <c r="I53" s="15" t="n">
        <f aca="false">MAX(0,I21/가정!$C$23*1000*(가정!$C$22/(가정!$C$22+10^-I19)-가정!$C$22/(가정!$C$22+10^-가정!$C$24)))</f>
        <v>2.85891226297507</v>
      </c>
      <c r="J53" s="15" t="n">
        <f aca="false">MAX(0,J21/가정!$C$23*1000*(가정!$C$22/(가정!$C$22+10^-J19)-가정!$C$22/(가정!$C$22+10^-가정!$C$24)))</f>
        <v>6.02457476875863</v>
      </c>
      <c r="K53" s="15" t="n">
        <f aca="false">MAX(0,K21/가정!$C$23*1000*(가정!$C$22/(가정!$C$22+10^-K19)-가정!$C$22/(가정!$C$22+10^-가정!$C$24)))</f>
        <v>2.3067618259198</v>
      </c>
      <c r="L53" s="15" t="n">
        <f aca="false">MAX(0,L21/가정!$C$23*1000*(가정!$C$22/(가정!$C$22+10^-L19)-가정!$C$22/(가정!$C$22+10^-가정!$C$24)))</f>
        <v>4.04910320507199</v>
      </c>
      <c r="M53" s="15" t="n">
        <f aca="false">MAX(0,M21/가정!$C$23*1000*(가정!$C$22/(가정!$C$22+10^-M19)-가정!$C$22/(가정!$C$22+10^-가정!$C$24)))</f>
        <v>4.74849375867534</v>
      </c>
      <c r="N53" s="15" t="n">
        <f aca="false">MAX(0,N21/가정!$C$23*1000*(가정!$C$22/(가정!$C$22+10^-N19)-가정!$C$22/(가정!$C$22+10^-가정!$C$24)))</f>
        <v>7.23930573028023</v>
      </c>
      <c r="O53" s="18" t="s">
        <v>160</v>
      </c>
    </row>
    <row r="54" customFormat="false" ht="24" hidden="false" customHeight="true" outlineLevel="0" collapsed="false">
      <c r="A54" s="14" t="s">
        <v>161</v>
      </c>
      <c r="B54" s="14" t="s">
        <v>86</v>
      </c>
      <c r="C54" s="15" t="n">
        <f aca="false">가정!$C$31*MAX(0,가정!$C$32-C53)</f>
        <v>0</v>
      </c>
      <c r="D54" s="15" t="n">
        <f aca="false">가정!$C$31*MAX(0,가정!$C$32-D53)</f>
        <v>0</v>
      </c>
      <c r="E54" s="15" t="n">
        <f aca="false">가정!$C$31*MAX(0,가정!$C$32-E53)</f>
        <v>0</v>
      </c>
      <c r="F54" s="15" t="n">
        <f aca="false">가정!$C$31*MAX(0,가정!$C$32-F53)</f>
        <v>0</v>
      </c>
      <c r="G54" s="15" t="n">
        <f aca="false">가정!$C$31*MAX(0,가정!$C$32-G53)</f>
        <v>0</v>
      </c>
      <c r="H54" s="15" t="n">
        <f aca="false">가정!$C$31*MAX(0,가정!$C$32-H53)</f>
        <v>0</v>
      </c>
      <c r="I54" s="15" t="n">
        <f aca="false">가정!$C$31*MAX(0,가정!$C$32-I53)</f>
        <v>0</v>
      </c>
      <c r="J54" s="15" t="n">
        <f aca="false">가정!$C$31*MAX(0,가정!$C$32-J53)</f>
        <v>0</v>
      </c>
      <c r="K54" s="15" t="n">
        <f aca="false">가정!$C$31*MAX(0,가정!$C$32-K53)</f>
        <v>0</v>
      </c>
      <c r="L54" s="15" t="n">
        <f aca="false">가정!$C$31*MAX(0,가정!$C$32-L53)</f>
        <v>0</v>
      </c>
      <c r="M54" s="15" t="n">
        <f aca="false">가정!$C$31*MAX(0,가정!$C$32-M53)</f>
        <v>0</v>
      </c>
      <c r="N54" s="15" t="n">
        <f aca="false">가정!$C$31*MAX(0,가정!$C$32-N53)</f>
        <v>0</v>
      </c>
      <c r="O54" s="18" t="s">
        <v>162</v>
      </c>
    </row>
    <row r="55" customFormat="false" ht="24" hidden="false" customHeight="true" outlineLevel="0" collapsed="false">
      <c r="A55" s="27" t="s">
        <v>163</v>
      </c>
      <c r="B55" s="14" t="s">
        <v>132</v>
      </c>
      <c r="C55" s="22" t="n">
        <f aca="false">C54*가정!$C$33/1000</f>
        <v>0</v>
      </c>
      <c r="D55" s="22" t="n">
        <f aca="false">D54*가정!$C$33/1000</f>
        <v>0</v>
      </c>
      <c r="E55" s="22" t="n">
        <f aca="false">E54*가정!$C$33/1000</f>
        <v>0</v>
      </c>
      <c r="F55" s="22" t="n">
        <f aca="false">F54*가정!$C$33/1000</f>
        <v>0</v>
      </c>
      <c r="G55" s="22" t="n">
        <f aca="false">G54*가정!$C$33/1000</f>
        <v>0</v>
      </c>
      <c r="H55" s="22" t="n">
        <f aca="false">H54*가정!$C$33/1000</f>
        <v>0</v>
      </c>
      <c r="I55" s="22" t="n">
        <f aca="false">I54*가정!$C$33/1000</f>
        <v>0</v>
      </c>
      <c r="J55" s="22" t="n">
        <f aca="false">J54*가정!$C$33/1000</f>
        <v>0</v>
      </c>
      <c r="K55" s="22" t="n">
        <f aca="false">K54*가정!$C$33/1000</f>
        <v>0</v>
      </c>
      <c r="L55" s="22" t="n">
        <f aca="false">L54*가정!$C$33/1000</f>
        <v>0</v>
      </c>
      <c r="M55" s="22" t="n">
        <f aca="false">M54*가정!$C$33/1000</f>
        <v>0</v>
      </c>
      <c r="N55" s="22" t="n">
        <f aca="false">N54*가정!$C$33/1000</f>
        <v>0</v>
      </c>
      <c r="O55" s="18" t="s">
        <v>164</v>
      </c>
    </row>
    <row r="56" customFormat="false" ht="24" hidden="false" customHeight="true" outlineLevel="0" collapsed="false">
      <c r="A56" s="27" t="s">
        <v>165</v>
      </c>
      <c r="B56" s="14" t="s">
        <v>166</v>
      </c>
      <c r="C56" s="19" t="n">
        <f aca="false">C55*C32</f>
        <v>0</v>
      </c>
      <c r="D56" s="19" t="n">
        <f aca="false">D55*D32</f>
        <v>0</v>
      </c>
      <c r="E56" s="19" t="n">
        <f aca="false">E55*E32</f>
        <v>0</v>
      </c>
      <c r="F56" s="19" t="n">
        <f aca="false">F55*F32</f>
        <v>0</v>
      </c>
      <c r="G56" s="19" t="n">
        <f aca="false">G55*G32</f>
        <v>0</v>
      </c>
      <c r="H56" s="19" t="n">
        <f aca="false">H55*H32</f>
        <v>0</v>
      </c>
      <c r="I56" s="19" t="n">
        <f aca="false">I55*I32</f>
        <v>0</v>
      </c>
      <c r="J56" s="19" t="n">
        <f aca="false">J55*J32</f>
        <v>0</v>
      </c>
      <c r="K56" s="19" t="n">
        <f aca="false">K55*K32</f>
        <v>0</v>
      </c>
      <c r="L56" s="19" t="n">
        <f aca="false">L55*L32</f>
        <v>0</v>
      </c>
      <c r="M56" s="19" t="n">
        <f aca="false">M55*M32</f>
        <v>0</v>
      </c>
      <c r="N56" s="19" t="n">
        <f aca="false">N55*N32</f>
        <v>0</v>
      </c>
      <c r="O56" s="16" t="s">
        <v>167</v>
      </c>
    </row>
    <row r="57" customFormat="false" ht="24" hidden="false" customHeight="true" outlineLevel="0" collapsed="false">
      <c r="A57" s="27" t="s">
        <v>168</v>
      </c>
      <c r="B57" s="14" t="s">
        <v>18</v>
      </c>
      <c r="C57" s="21" t="n">
        <f aca="false">(C46*(1-C44)+C36)*가정!$C$4*(1-가정!$C$3)/(C31*표1_논문데이터!$J$5*표1_논문데이터!$L$5/1000)</f>
        <v>1</v>
      </c>
      <c r="D57" s="21" t="n">
        <f aca="false">(D46*(1-D44)+D36)*가정!$C$4*(1-가정!$C$3)/(D31*표1_논문데이터!$J$6*표1_논문데이터!$L$6/1000)</f>
        <v>1</v>
      </c>
      <c r="E57" s="21" t="n">
        <f aca="false">(E46*(1-E44)+E36)*가정!$C$4*(1-가정!$C$3)/(E31*표1_논문데이터!$J$7*표1_논문데이터!$L$7/1000)</f>
        <v>1</v>
      </c>
      <c r="F57" s="21" t="n">
        <f aca="false">(F46*(1-F44)+F36)*가정!$C$4*(1-가정!$C$3)/(F31*표1_논문데이터!$J$8*표1_논문데이터!$L$8/1000)</f>
        <v>1</v>
      </c>
      <c r="G57" s="21" t="n">
        <f aca="false">(G46*(1-G44)+G36)*가정!$C$4*(1-가정!$C$3)/(G31*표1_논문데이터!$J$9*표1_논문데이터!$L$9/1000)</f>
        <v>1</v>
      </c>
      <c r="H57" s="21" t="n">
        <f aca="false">(H46*(1-H44)+H36)*가정!$C$4*(1-가정!$C$3)/(H31*표1_논문데이터!$J$10*표1_논문데이터!$L$10/1000)</f>
        <v>1</v>
      </c>
      <c r="I57" s="21" t="n">
        <f aca="false">(I46*(1-I44)+I36)*가정!$C$4*(1-가정!$C$3)/(I31*표1_논문데이터!$J$11*표1_논문데이터!$L$11/1000)</f>
        <v>1</v>
      </c>
      <c r="J57" s="21" t="n">
        <f aca="false">(J46*(1-J44)+J36)*가정!$C$4*(1-가정!$C$3)/(J31*표1_논문데이터!$J$12*표1_논문데이터!$L$12/1000)</f>
        <v>1</v>
      </c>
      <c r="K57" s="21" t="n">
        <f aca="false">(K46*(1-K44)+K36)*가정!$C$4*(1-가정!$C$3)/(K31*표1_논문데이터!$J$13*표1_논문데이터!$L$13/1000)</f>
        <v>1</v>
      </c>
      <c r="L57" s="21" t="n">
        <f aca="false">(L46*(1-L44)+L36)*가정!$C$4*(1-가정!$C$3)/(L31*표1_논문데이터!$J$14*표1_논문데이터!$L$14/1000)</f>
        <v>1</v>
      </c>
      <c r="M57" s="21" t="n">
        <f aca="false">(M46*(1-M44)+M36)*가정!$C$4*(1-가정!$C$3)/(M31*표1_논문데이터!$J$15*표1_논문데이터!$L$15/1000)</f>
        <v>1</v>
      </c>
      <c r="N57" s="21" t="n">
        <f aca="false">(N46*(1-N44)+N36)*가정!$C$4*(1-가정!$C$3)/(N31*표1_논문데이터!$J$16*표1_논문데이터!$L$16/1000)</f>
        <v>1</v>
      </c>
      <c r="O57" s="18" t="s">
        <v>169</v>
      </c>
    </row>
    <row r="58" customFormat="false" ht="24" hidden="false" customHeight="true" outlineLevel="0" collapsed="false">
      <c r="A58" s="27" t="s">
        <v>170</v>
      </c>
      <c r="B58" s="14" t="s">
        <v>18</v>
      </c>
      <c r="C58" s="21" t="n">
        <f aca="false">(C46+C36)/(C31*표1_논문데이터!$J$5)</f>
        <v>1</v>
      </c>
      <c r="D58" s="21" t="n">
        <f aca="false">(D46+D36)/(D31*표1_논문데이터!$J$6)</f>
        <v>1</v>
      </c>
      <c r="E58" s="21" t="n">
        <f aca="false">(E46+E36)/(E31*표1_논문데이터!$J$7)</f>
        <v>1</v>
      </c>
      <c r="F58" s="21" t="n">
        <f aca="false">(F46+F36)/(F31*표1_논문데이터!$J$8)</f>
        <v>1</v>
      </c>
      <c r="G58" s="21" t="n">
        <f aca="false">(G46+G36)/(G31*표1_논문데이터!$J$9)</f>
        <v>1</v>
      </c>
      <c r="H58" s="21" t="n">
        <f aca="false">(H46+H36)/(H31*표1_논문데이터!$J$10)</f>
        <v>1</v>
      </c>
      <c r="I58" s="21" t="n">
        <f aca="false">(I46+I36)/(I31*표1_논문데이터!$J$11)</f>
        <v>1</v>
      </c>
      <c r="J58" s="21" t="n">
        <f aca="false">(J46+J36)/(J31*표1_논문데이터!$J$12)</f>
        <v>1</v>
      </c>
      <c r="K58" s="21" t="n">
        <f aca="false">(K46+K36)/(K31*표1_논문데이터!$J$13)</f>
        <v>1</v>
      </c>
      <c r="L58" s="21" t="n">
        <f aca="false">(L46+L36)/(L31*표1_논문데이터!$J$14)</f>
        <v>1</v>
      </c>
      <c r="M58" s="21" t="n">
        <f aca="false">(M46+M36)/(M31*표1_논문데이터!$J$15)</f>
        <v>1</v>
      </c>
      <c r="N58" s="21" t="n">
        <f aca="false">(N46+N36)/(N31*표1_논문데이터!$J$16)</f>
        <v>1</v>
      </c>
      <c r="O58" s="18" t="s">
        <v>171</v>
      </c>
    </row>
    <row r="59" customFormat="false" ht="24" hidden="false" customHeight="true" outlineLevel="0" collapsed="false">
      <c r="A59" s="14" t="s">
        <v>172</v>
      </c>
      <c r="B59" s="14" t="s">
        <v>173</v>
      </c>
      <c r="C59" s="25" t="n">
        <f aca="false">10^-C19+C6/14*(1-가정!$C$17/(가정!$C$17+10^-C19))-C20/1000-C36/64*가정!$C$22/(가정!$C$22+10^-C19)-가정!$C$18/10^-C19</f>
        <v>-0.0143262932362677</v>
      </c>
      <c r="D59" s="25" t="n">
        <f aca="false">10^-D19+D6/14*(1-가정!$C$17/(가정!$C$17+10^-D19))-D20/1000-D36/64*가정!$C$22/(가정!$C$22+10^-D19)-가정!$C$18/10^-D19</f>
        <v>-0.0050036187373904</v>
      </c>
      <c r="E59" s="25" t="n">
        <f aca="false">10^-E19+E6/14*(1-가정!$C$17/(가정!$C$17+10^-E19))-E20/1000-E36/64*가정!$C$22/(가정!$C$22+10^-E19)-가정!$C$18/10^-E19</f>
        <v>-0.00638868706863881</v>
      </c>
      <c r="F59" s="25" t="n">
        <f aca="false">10^-F19+F6/14*(1-가정!$C$17/(가정!$C$17+10^-F19))-F20/1000-F36/64*가정!$C$22/(가정!$C$22+10^-F19)-가정!$C$18/10^-F19</f>
        <v>0.000317846383605943</v>
      </c>
      <c r="G59" s="25" t="n">
        <f aca="false">10^-G19+G6/14*(1-가정!$C$17/(가정!$C$17+10^-G19))-G20/1000-G36/64*가정!$C$22/(가정!$C$22+10^-G19)-가정!$C$18/10^-G19</f>
        <v>-0.00193094417149034</v>
      </c>
      <c r="H59" s="25" t="n">
        <f aca="false">10^-H19+H6/14*(1-가정!$C$17/(가정!$C$17+10^-H19))-H20/1000-H36/64*가정!$C$22/(가정!$C$22+10^-H19)-가정!$C$18/10^-H19</f>
        <v>-0.00460241824132595</v>
      </c>
      <c r="I59" s="25" t="n">
        <f aca="false">10^-I19+I6/14*(1-가정!$C$17/(가정!$C$17+10^-I19))-I20/1000-I36/64*가정!$C$22/(가정!$C$22+10^-I19)-가정!$C$18/10^-I19</f>
        <v>-0.00345268652009797</v>
      </c>
      <c r="J59" s="25" t="n">
        <f aca="false">10^-J19+J6/14*(1-가정!$C$17/(가정!$C$17+10^-J19))-J20/1000-J36/64*가정!$C$22/(가정!$C$22+10^-J19)-가정!$C$18/10^-J19</f>
        <v>-0.00931689965703062</v>
      </c>
      <c r="K59" s="25" t="n">
        <f aca="false">10^-K19+K6/14*(1-가정!$C$17/(가정!$C$17+10^-K19))-K20/1000-K36/64*가정!$C$22/(가정!$C$22+10^-K19)-가정!$C$18/10^-K19</f>
        <v>-0.00306400024829101</v>
      </c>
      <c r="L59" s="25" t="n">
        <f aca="false">10^-L19+L6/14*(1-가정!$C$17/(가정!$C$17+10^-L19))-L20/1000-L36/64*가정!$C$22/(가정!$C$22+10^-L19)-가정!$C$18/10^-L19</f>
        <v>-0.00572467873536312</v>
      </c>
      <c r="M59" s="25" t="n">
        <f aca="false">10^-M19+M6/14*(1-가정!$C$17/(가정!$C$17+10^-M19))-M20/1000-M36/64*가정!$C$22/(가정!$C$22+10^-M19)-가정!$C$18/10^-M19</f>
        <v>-0.00761723589520803</v>
      </c>
      <c r="N59" s="25" t="n">
        <f aca="false">10^-N19+N6/14*(1-가정!$C$17/(가정!$C$17+10^-N19))-N20/1000-N36/64*가정!$C$22/(가정!$C$22+10^-N19)-가정!$C$18/10^-N19</f>
        <v>-0.0147150335815007</v>
      </c>
      <c r="O59" s="18" t="s">
        <v>174</v>
      </c>
    </row>
    <row r="61" customFormat="false" ht="15" hidden="false" customHeight="false" outlineLevel="0" collapsed="false">
      <c r="A61" s="24" t="s">
        <v>175</v>
      </c>
    </row>
    <row r="62" customFormat="false" ht="15" hidden="false" customHeight="false" outlineLevel="0" collapsed="false">
      <c r="A62" s="11" t="s">
        <v>176</v>
      </c>
    </row>
    <row r="63" customFormat="false" ht="15" hidden="false" customHeight="false" outlineLevel="0" collapsed="false">
      <c r="A63" s="11" t="s">
        <v>177</v>
      </c>
    </row>
    <row r="64" customFormat="false" ht="15" hidden="false" customHeight="false" outlineLevel="0" collapsed="false">
      <c r="A64" s="11" t="s">
        <v>178</v>
      </c>
    </row>
    <row r="65" customFormat="false" ht="15" hidden="false" customHeight="false" outlineLevel="0" collapsed="false">
      <c r="A65" s="11" t="s">
        <v>179</v>
      </c>
    </row>
    <row r="66" customFormat="false" ht="15" hidden="false" customHeight="false" outlineLevel="0" collapsed="false">
      <c r="A66" s="11" t="s">
        <v>180</v>
      </c>
    </row>
    <row r="67" customFormat="false" ht="15" hidden="false" customHeight="false" outlineLevel="0" collapsed="false">
      <c r="A67" s="11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19.4" hidden="false" customHeight="false" outlineLevel="0" collapsed="false">
      <c r="A1" s="1" t="s">
        <v>182</v>
      </c>
    </row>
    <row r="2" customFormat="false" ht="15" hidden="false" customHeight="false" outlineLevel="0" collapsed="false">
      <c r="A2" s="28" t="s">
        <v>183</v>
      </c>
      <c r="B2" s="28" t="s">
        <v>184</v>
      </c>
      <c r="C2" s="28" t="s">
        <v>185</v>
      </c>
      <c r="D2" s="28" t="s">
        <v>186</v>
      </c>
    </row>
    <row r="3" customFormat="false" ht="15" hidden="false" customHeight="false" outlineLevel="0" collapsed="false">
      <c r="A3" s="29" t="s">
        <v>187</v>
      </c>
      <c r="B3" s="30" t="s">
        <v>188</v>
      </c>
      <c r="C3" s="31" t="n">
        <v>0.06</v>
      </c>
      <c r="D3" s="30" t="s">
        <v>189</v>
      </c>
    </row>
    <row r="4" customFormat="false" ht="15" hidden="false" customHeight="false" outlineLevel="0" collapsed="false">
      <c r="A4" s="29" t="s">
        <v>190</v>
      </c>
      <c r="B4" s="29" t="s">
        <v>191</v>
      </c>
      <c r="C4" s="32" t="n">
        <v>0.3502</v>
      </c>
      <c r="D4" s="29" t="s">
        <v>192</v>
      </c>
    </row>
    <row r="5" customFormat="false" ht="15" hidden="false" customHeight="false" outlineLevel="0" collapsed="false">
      <c r="A5" s="29" t="s">
        <v>72</v>
      </c>
      <c r="B5" s="30" t="s">
        <v>193</v>
      </c>
      <c r="C5" s="31" t="n">
        <v>0.04</v>
      </c>
      <c r="D5" s="30" t="s">
        <v>194</v>
      </c>
    </row>
    <row r="6" customFormat="false" ht="15" hidden="false" customHeight="false" outlineLevel="0" collapsed="false">
      <c r="A6" s="29" t="s">
        <v>64</v>
      </c>
      <c r="B6" s="30" t="s">
        <v>195</v>
      </c>
      <c r="C6" s="31" t="n">
        <v>0.8</v>
      </c>
      <c r="D6" s="30" t="s">
        <v>196</v>
      </c>
    </row>
    <row r="7" customFormat="false" ht="15" hidden="false" customHeight="false" outlineLevel="0" collapsed="false">
      <c r="A7" s="29" t="s">
        <v>197</v>
      </c>
      <c r="B7" s="30" t="s">
        <v>198</v>
      </c>
      <c r="C7" s="32" t="n">
        <v>0.9375</v>
      </c>
      <c r="D7" s="29" t="s">
        <v>199</v>
      </c>
    </row>
    <row r="8" customFormat="false" ht="15" hidden="false" customHeight="false" outlineLevel="0" collapsed="false">
      <c r="A8" s="29" t="s">
        <v>200</v>
      </c>
      <c r="B8" s="30" t="s">
        <v>201</v>
      </c>
      <c r="C8" s="32" t="n">
        <v>0.7736</v>
      </c>
      <c r="D8" s="29" t="s">
        <v>202</v>
      </c>
    </row>
    <row r="9" customFormat="false" ht="15" hidden="false" customHeight="false" outlineLevel="0" collapsed="false">
      <c r="A9" s="29" t="s">
        <v>203</v>
      </c>
      <c r="B9" s="30" t="s">
        <v>204</v>
      </c>
      <c r="C9" s="32" t="n">
        <v>0.347413793103448</v>
      </c>
      <c r="D9" s="29" t="s">
        <v>202</v>
      </c>
    </row>
    <row r="10" customFormat="false" ht="15" hidden="false" customHeight="false" outlineLevel="0" collapsed="false">
      <c r="A10" s="29" t="s">
        <v>205</v>
      </c>
      <c r="B10" s="30" t="s">
        <v>206</v>
      </c>
      <c r="C10" s="32" t="n">
        <v>0.9375</v>
      </c>
      <c r="D10" s="29" t="s">
        <v>202</v>
      </c>
    </row>
    <row r="11" customFormat="false" ht="15" hidden="false" customHeight="false" outlineLevel="0" collapsed="false">
      <c r="A11" s="29" t="s">
        <v>207</v>
      </c>
      <c r="B11" s="30" t="s">
        <v>208</v>
      </c>
      <c r="C11" s="32" t="n">
        <v>1550</v>
      </c>
      <c r="D11" s="29" t="s">
        <v>202</v>
      </c>
    </row>
    <row r="12" customFormat="false" ht="15" hidden="false" customHeight="false" outlineLevel="0" collapsed="false">
      <c r="A12" s="29" t="s">
        <v>209</v>
      </c>
      <c r="B12" s="30" t="s">
        <v>210</v>
      </c>
      <c r="C12" s="32" t="n">
        <v>1370</v>
      </c>
      <c r="D12" s="29" t="s">
        <v>202</v>
      </c>
    </row>
    <row r="13" customFormat="false" ht="15" hidden="false" customHeight="false" outlineLevel="0" collapsed="false">
      <c r="A13" s="29" t="s">
        <v>211</v>
      </c>
      <c r="B13" s="30" t="s">
        <v>212</v>
      </c>
      <c r="C13" s="32" t="n">
        <v>920</v>
      </c>
      <c r="D13" s="29" t="s">
        <v>202</v>
      </c>
    </row>
    <row r="14" customFormat="false" ht="15" hidden="false" customHeight="false" outlineLevel="0" collapsed="false">
      <c r="A14" s="29" t="s">
        <v>213</v>
      </c>
      <c r="B14" s="30" t="s">
        <v>214</v>
      </c>
      <c r="C14" s="32" t="n">
        <v>2420</v>
      </c>
      <c r="D14" s="29" t="s">
        <v>202</v>
      </c>
    </row>
    <row r="15" customFormat="false" ht="15" hidden="false" customHeight="false" outlineLevel="0" collapsed="false">
      <c r="A15" s="29" t="s">
        <v>215</v>
      </c>
      <c r="B15" s="30" t="s">
        <v>216</v>
      </c>
      <c r="C15" s="32" t="n">
        <v>1050</v>
      </c>
      <c r="D15" s="29" t="s">
        <v>202</v>
      </c>
    </row>
    <row r="16" customFormat="false" ht="15" hidden="false" customHeight="false" outlineLevel="0" collapsed="false">
      <c r="A16" s="29" t="s">
        <v>217</v>
      </c>
      <c r="B16" s="30" t="s">
        <v>218</v>
      </c>
      <c r="C16" s="32" t="n">
        <v>1000</v>
      </c>
      <c r="D16" s="29" t="s">
        <v>202</v>
      </c>
    </row>
    <row r="17" customFormat="false" ht="15" hidden="false" customHeight="false" outlineLevel="0" collapsed="false">
      <c r="A17" s="29" t="s">
        <v>219</v>
      </c>
      <c r="B17" s="30" t="s">
        <v>220</v>
      </c>
      <c r="C17" s="33" t="n">
        <v>5.62341325190349E-010</v>
      </c>
      <c r="D17" s="29" t="s">
        <v>202</v>
      </c>
    </row>
    <row r="18" customFormat="false" ht="15" hidden="false" customHeight="false" outlineLevel="0" collapsed="false">
      <c r="A18" s="29" t="s">
        <v>221</v>
      </c>
      <c r="B18" s="30" t="s">
        <v>222</v>
      </c>
      <c r="C18" s="33" t="n">
        <v>1E-014</v>
      </c>
      <c r="D18" s="29" t="s">
        <v>202</v>
      </c>
    </row>
    <row r="19" customFormat="false" ht="15" hidden="false" customHeight="false" outlineLevel="0" collapsed="false">
      <c r="A19" s="29" t="s">
        <v>223</v>
      </c>
      <c r="B19" s="30" t="s">
        <v>224</v>
      </c>
      <c r="C19" s="32" t="n">
        <v>0.5</v>
      </c>
      <c r="D19" s="29" t="s">
        <v>225</v>
      </c>
    </row>
    <row r="20" customFormat="false" ht="15" hidden="false" customHeight="false" outlineLevel="0" collapsed="false">
      <c r="A20" s="29" t="s">
        <v>226</v>
      </c>
      <c r="B20" s="30" t="s">
        <v>227</v>
      </c>
      <c r="C20" s="32" t="n">
        <v>0.71</v>
      </c>
      <c r="D20" s="29" t="s">
        <v>228</v>
      </c>
    </row>
    <row r="21" customFormat="false" ht="15" hidden="false" customHeight="false" outlineLevel="0" collapsed="false">
      <c r="A21" s="29" t="s">
        <v>229</v>
      </c>
      <c r="B21" s="30" t="s">
        <v>230</v>
      </c>
      <c r="C21" s="32" t="n">
        <v>0.68</v>
      </c>
      <c r="D21" s="29" t="s">
        <v>231</v>
      </c>
    </row>
    <row r="22" customFormat="false" ht="15" hidden="false" customHeight="false" outlineLevel="0" collapsed="false">
      <c r="A22" s="29" t="s">
        <v>232</v>
      </c>
      <c r="B22" s="30" t="s">
        <v>233</v>
      </c>
      <c r="C22" s="33" t="n">
        <v>1.73780082874938E-005</v>
      </c>
      <c r="D22" s="29" t="s">
        <v>234</v>
      </c>
    </row>
    <row r="23" customFormat="false" ht="15" hidden="false" customHeight="false" outlineLevel="0" collapsed="false">
      <c r="A23" s="29" t="s">
        <v>235</v>
      </c>
      <c r="B23" s="30" t="s">
        <v>236</v>
      </c>
      <c r="C23" s="32" t="n">
        <v>60.05</v>
      </c>
      <c r="D23" s="30" t="s">
        <v>237</v>
      </c>
    </row>
    <row r="24" customFormat="false" ht="15" hidden="false" customHeight="false" outlineLevel="0" collapsed="false">
      <c r="A24" s="29" t="s">
        <v>238</v>
      </c>
      <c r="B24" s="29" t="s">
        <v>239</v>
      </c>
      <c r="C24" s="32" t="n">
        <v>4.3</v>
      </c>
      <c r="D24" s="30" t="s">
        <v>240</v>
      </c>
    </row>
    <row r="25" customFormat="false" ht="15" hidden="false" customHeight="false" outlineLevel="0" collapsed="false">
      <c r="A25" s="29" t="s">
        <v>241</v>
      </c>
      <c r="B25" s="29" t="s">
        <v>242</v>
      </c>
      <c r="C25" s="31" t="n">
        <v>0.666666666666667</v>
      </c>
      <c r="D25" s="29" t="s">
        <v>243</v>
      </c>
    </row>
    <row r="26" customFormat="false" ht="15" hidden="false" customHeight="false" outlineLevel="0" collapsed="false">
      <c r="A26" s="29" t="s">
        <v>244</v>
      </c>
      <c r="B26" s="30" t="s">
        <v>245</v>
      </c>
      <c r="C26" s="31" t="n">
        <v>200</v>
      </c>
      <c r="D26" s="30" t="s">
        <v>246</v>
      </c>
    </row>
    <row r="27" customFormat="false" ht="15" hidden="false" customHeight="false" outlineLevel="0" collapsed="false">
      <c r="A27" s="29" t="s">
        <v>247</v>
      </c>
      <c r="B27" s="30" t="s">
        <v>248</v>
      </c>
      <c r="C27" s="31" t="n">
        <v>1</v>
      </c>
      <c r="D27" s="30" t="s">
        <v>249</v>
      </c>
    </row>
    <row r="28" customFormat="false" ht="15" hidden="false" customHeight="false" outlineLevel="0" collapsed="false">
      <c r="A28" s="29" t="s">
        <v>250</v>
      </c>
      <c r="B28" s="30" t="s">
        <v>251</v>
      </c>
      <c r="C28" s="31" t="n">
        <v>9</v>
      </c>
      <c r="D28" s="30" t="s">
        <v>252</v>
      </c>
    </row>
    <row r="29" customFormat="false" ht="15" hidden="false" customHeight="false" outlineLevel="0" collapsed="false">
      <c r="A29" s="29" t="s">
        <v>253</v>
      </c>
      <c r="B29" s="30" t="s">
        <v>254</v>
      </c>
      <c r="C29" s="31" t="n">
        <v>1</v>
      </c>
      <c r="D29" s="30" t="s">
        <v>255</v>
      </c>
    </row>
    <row r="30" customFormat="false" ht="15" hidden="false" customHeight="false" outlineLevel="0" collapsed="false">
      <c r="A30" s="29" t="s">
        <v>256</v>
      </c>
      <c r="B30" s="30" t="s">
        <v>257</v>
      </c>
      <c r="C30" s="31" t="n">
        <v>6000</v>
      </c>
      <c r="D30" s="30" t="s">
        <v>255</v>
      </c>
    </row>
    <row r="31" customFormat="false" ht="15" hidden="false" customHeight="false" outlineLevel="0" collapsed="false">
      <c r="A31" s="29" t="s">
        <v>258</v>
      </c>
      <c r="B31" s="30" t="s">
        <v>259</v>
      </c>
      <c r="C31" s="31" t="n">
        <v>0</v>
      </c>
      <c r="D31" s="30" t="s">
        <v>260</v>
      </c>
    </row>
    <row r="32" customFormat="false" ht="15" hidden="false" customHeight="false" outlineLevel="0" collapsed="false">
      <c r="A32" s="29" t="s">
        <v>261</v>
      </c>
      <c r="B32" s="30" t="s">
        <v>262</v>
      </c>
      <c r="C32" s="31" t="n">
        <v>120</v>
      </c>
      <c r="D32" s="30" t="s">
        <v>263</v>
      </c>
    </row>
    <row r="33" customFormat="false" ht="15" hidden="false" customHeight="false" outlineLevel="0" collapsed="false">
      <c r="A33" s="29" t="s">
        <v>264</v>
      </c>
      <c r="B33" s="30" t="s">
        <v>265</v>
      </c>
      <c r="C33" s="31" t="n">
        <v>84</v>
      </c>
      <c r="D33" s="29" t="s">
        <v>266</v>
      </c>
    </row>
    <row r="34" customFormat="false" ht="15" hidden="false" customHeight="false" outlineLevel="0" collapsed="false">
      <c r="A34" s="29" t="s">
        <v>267</v>
      </c>
      <c r="B34" s="30" t="s">
        <v>268</v>
      </c>
      <c r="C34" s="31" t="n">
        <v>0.01</v>
      </c>
      <c r="D34" s="30" t="s">
        <v>269</v>
      </c>
    </row>
    <row r="35" customFormat="false" ht="15" hidden="false" customHeight="false" outlineLevel="0" collapsed="false">
      <c r="A35" s="29" t="s">
        <v>270</v>
      </c>
      <c r="B35" s="30" t="s">
        <v>271</v>
      </c>
      <c r="C35" s="34" t="n">
        <v>0</v>
      </c>
      <c r="D35" s="30" t="s">
        <v>272</v>
      </c>
    </row>
    <row r="36" customFormat="false" ht="15" hidden="false" customHeight="false" outlineLevel="0" collapsed="false">
      <c r="A36" s="29" t="s">
        <v>273</v>
      </c>
      <c r="B36" s="30" t="s">
        <v>274</v>
      </c>
      <c r="C36" s="34" t="n">
        <v>0</v>
      </c>
      <c r="D36" s="30" t="s">
        <v>275</v>
      </c>
    </row>
    <row r="37" customFormat="false" ht="15" hidden="false" customHeight="false" outlineLevel="0" collapsed="false">
      <c r="A37" s="29" t="s">
        <v>276</v>
      </c>
      <c r="B37" s="29" t="s">
        <v>277</v>
      </c>
      <c r="C37" s="32" t="n">
        <v>0.59</v>
      </c>
      <c r="D37" s="29" t="s">
        <v>278</v>
      </c>
    </row>
    <row r="38" customFormat="false" ht="15" hidden="false" customHeight="false" outlineLevel="0" collapsed="false">
      <c r="A38" s="29" t="s">
        <v>279</v>
      </c>
      <c r="B38" s="29" t="s">
        <v>280</v>
      </c>
      <c r="C38" s="32" t="n">
        <v>0.001</v>
      </c>
      <c r="D38" s="29" t="s">
        <v>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2026-10-14T08:03:56Z</dcterms:created>
  <dc:creator>openpyxl</dc:creator>
  <dc:description/>
  <dc:language>en-US</dc:language>
  <cp:lastModifiedBy/>
  <dcterms:modified xsi:type="dcterms:W3CDTF">2026-10-14T08:03:56Z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